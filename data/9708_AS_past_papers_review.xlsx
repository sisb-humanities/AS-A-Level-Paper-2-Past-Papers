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Questions" sheetId="1" state="visible" r:id="rId3"/>
    <sheet name="Topic Matrix" sheetId="2" state="visible" r:id="rId4"/>
    <sheet name="Repeated Questions" sheetId="3" state="visible" r:id="rId5"/>
    <sheet name="Examiner Key Messages" sheetId="4" state="visible" r:id="rId6"/>
    <sheet name="Review Sample" sheetId="5" state="visible" r:id="rId7"/>
    <sheet name="Schema &amp; Notes" sheetId="6" state="visible" r:id="rId8"/>
    <sheet name="Level Descriptors" sheetId="7" state="visible" r:id="rId9"/>
  </sheets>
  <definedNames>
    <definedName function="false" hidden="true" localSheetId="0" name="_xlnm._FilterDatabase" vbProcedure="false">Questions!$A$1:$AE$507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<sst xmlns="http://schemas.openxmlformats.org/spreadsheetml/2006/main" count="10336" uniqueCount="3638">
  <si>
    <t xml:space="preserve">ID</t>
  </si>
  <si>
    <t xml:space="preserve">Year</t>
  </si>
  <si>
    <t xml:space="preserve">Series</t>
  </si>
  <si>
    <t xml:space="preserve">Paper</t>
  </si>
  <si>
    <t xml:space="preserve">Section</t>
  </si>
  <si>
    <t xml:space="preserve">Q</t>
  </si>
  <si>
    <t xml:space="preserve">Part</t>
  </si>
  <si>
    <t xml:space="preserve">Choice</t>
  </si>
  <si>
    <t xml:space="preserve">Marks</t>
  </si>
  <si>
    <t xml:space="preserve">AO3 marks</t>
  </si>
  <si>
    <t xml:space="preserve">Command word</t>
  </si>
  <si>
    <t xml:space="preserve">2nd command</t>
  </si>
  <si>
    <t xml:space="preserve">Diagram</t>
  </si>
  <si>
    <t xml:space="preserve">Calc</t>
  </si>
  <si>
    <t xml:space="preserve">Stem patterns</t>
  </si>
  <si>
    <t xml:space="preserve">Primary topic</t>
  </si>
  <si>
    <t xml:space="preserve">Primary topic name</t>
  </si>
  <si>
    <t xml:space="preserve">All topics</t>
  </si>
  <si>
    <t xml:space="preserve">Sub-topics</t>
  </si>
  <si>
    <t xml:space="preserve">Key concepts</t>
  </si>
  <si>
    <t xml:space="preserve">Context (data response)</t>
  </si>
  <si>
    <t xml:space="preserve">Question</t>
  </si>
  <si>
    <t xml:space="preserve">Mark scheme</t>
  </si>
  <si>
    <t xml:space="preserve">MS page</t>
  </si>
  <si>
    <t xml:space="preserve">QP page</t>
  </si>
  <si>
    <t xml:space="preserve">Question text from</t>
  </si>
  <si>
    <t xml:space="preserve">Flags</t>
  </si>
  <si>
    <t xml:space="preserve">Reviewed?</t>
  </si>
  <si>
    <t xml:space="preserve">Reviewer notes</t>
  </si>
  <si>
    <t xml:space="preserve">Similar question in another paper</t>
  </si>
  <si>
    <t xml:space="preserve">Examiner report comment</t>
  </si>
  <si>
    <t xml:space="preserve">9708_m21_22_Q1a</t>
  </si>
  <si>
    <t xml:space="preserve">Feb/March</t>
  </si>
  <si>
    <t xml:space="preserve">9708/22</t>
  </si>
  <si>
    <t xml:space="preserve">A</t>
  </si>
  <si>
    <t xml:space="preserve">a</t>
  </si>
  <si>
    <t xml:space="preserve">Calculate</t>
  </si>
  <si>
    <t xml:space="preserve">Yes</t>
  </si>
  <si>
    <t xml:space="preserve">uses data</t>
  </si>
  <si>
    <t xml:space="preserve">4.6</t>
  </si>
  <si>
    <t xml:space="preserve">Price stability</t>
  </si>
  <si>
    <t xml:space="preserve">;4.6;</t>
  </si>
  <si>
    <t xml:space="preserve">4.6.2</t>
  </si>
  <si>
    <t xml:space="preserve">inflation rate, price index, data calculation</t>
  </si>
  <si>
    <t xml:space="preserve">Japan – deflation and monetary policy</t>
  </si>
  <si>
    <t xml:space="preserve">Calculate the rate of inflation in Japan from 2014 to the estimate in 2019.</t>
  </si>
  <si>
    <t xml:space="preserve">2.6% (1)</t>
  </si>
  <si>
    <t xml:space="preserve">question paper</t>
  </si>
  <si>
    <t xml:space="preserve">Needs data removed from the published paper (copyright): the table/figure this part refers to is not in the public copy.</t>
  </si>
  <si>
    <t xml:space="preserve">9708_s22_22_Q1ai (61%)</t>
  </si>
  <si>
    <t xml:space="preserve">This was a straightforward calculation question. A significant number of candidates were unable to correctly calculate the percentage change and simply subtracted figures which in this instance did give the correct figure but this was due to the closeness of the figures. Candidates do need to know and understand the correct formula for calculating percentage changes.</t>
  </si>
  <si>
    <t xml:space="preserve">9708_m21_22_Q1b</t>
  </si>
  <si>
    <t xml:space="preserve">b</t>
  </si>
  <si>
    <t xml:space="preserve">Identify</t>
  </si>
  <si>
    <t xml:space="preserve">5.2</t>
  </si>
  <si>
    <t xml:space="preserve">Fiscal policy</t>
  </si>
  <si>
    <t xml:space="preserve">;5.2;</t>
  </si>
  <si>
    <t xml:space="preserve">5.2.6</t>
  </si>
  <si>
    <t xml:space="preserve">fiscal stance, budget deficit, data interpretation</t>
  </si>
  <si>
    <t xml:space="preserve">With reference to Table 1.1 identify one piece of evidence that suggests that Japan has not been using an expansionary fiscal policy before 2019.</t>
  </si>
  <si>
    <t xml:space="preserve">Government expenditure as a % of aggregate expenditure is falling over the period or is not increasing. (1) OR Budget deficit as a % of aggregate expenditure is falling over the period. (1)</t>
  </si>
  <si>
    <t xml:space="preserve">This was another straightforward question that required candidates to understand that expansionary fiscal policy would be likely to increase government expenditure as a percentage of aggregate expenditure and/or the budget deficit would be likely to increase. The fact that both were falling suggested Japan was not using an expansionary fiscal policy. Most candidates understood this and gained the mark, but a number did not understand the significance of these indicators.</t>
  </si>
  <si>
    <t xml:space="preserve">9708_m21_22_Q1c</t>
  </si>
  <si>
    <t xml:space="preserve">c</t>
  </si>
  <si>
    <t xml:space="preserve">Explain</t>
  </si>
  <si>
    <t xml:space="preserve">4.6.1, 4.6.5</t>
  </si>
  <si>
    <t xml:space="preserve">deflation, consumption, delayed spending</t>
  </si>
  <si>
    <t xml:space="preserve">Explain why deflation, as experienced by Japan, discourages consumption spending.</t>
  </si>
  <si>
    <t xml:space="preserve">For a clear understanding that deflation refers to a fall in the general price level (1)
For explaining why, a fall in the general price level will discourage consumption. (1) (Up to 2 marks)
Guidance: Consumption is discouraged because as the expectations of price falls takes hold consumers hold back purchases because they expect prices to fall in the future. Also, the general air of uncertainty encourages consumers to save for the future.</t>
  </si>
  <si>
    <t xml:space="preserve">Section A source partly removed for copyright; this part can still be attempted from general knowledge.</t>
  </si>
  <si>
    <t xml:space="preserve">This was generally well answered provided candidates understood what was meant by deflation. Some confused it with disinflation which is clearly not the same and some adopted a micro approach and focused on specific products. Provided the candidate clearly understood the meaning of deflation and the likely consequences of deferred purchases and/or increased uncertainty, the full 2 marks were easily gained.</t>
  </si>
  <si>
    <t xml:space="preserve">9708_m21_22_Q1d</t>
  </si>
  <si>
    <t xml:space="preserve">d</t>
  </si>
  <si>
    <t xml:space="preserve">diagram required</t>
  </si>
  <si>
    <t xml:space="preserve">6.4</t>
  </si>
  <si>
    <t xml:space="preserve">Exchange rates</t>
  </si>
  <si>
    <t xml:space="preserve">;6.4;5.3;</t>
  </si>
  <si>
    <t xml:space="preserve">6.4.2, 6.4.4</t>
  </si>
  <si>
    <t xml:space="preserve">exchange rate, interest rate differentials, depreciation</t>
  </si>
  <si>
    <t xml:space="preserve">Use a diagram to explain what you would expect to happen to the Yen : US dollar exchange rate if the Bank of Japan continued with low interest rates, ‘even as other central banks around the world begin raising rates’.</t>
  </si>
  <si>
    <t xml:space="preserve">For a diagram that shows either an increased supply of yen onto the forex market (1) as interest rates rise abroad and the change in the price of the yen and quantity traded (1) or a decrease in the demand for the yen on the forex market (1) as interest rates rise abroad and the change in the price of the yen and quantity traded (1) (Up to 2 marks)
For an accompanying explanation of reason for the shift shown (either an increased supply of yen or reduced demand for yen) (1) and a conclusion that it would be expected that the yen would depreciate (or fall) (1) (Up to 2 marks)
Guidance: The diagram should be correctly labelled and show a change in the exchange rate and a change in the quantity traded. There must be some accompanying explanation for full marks.</t>
  </si>
  <si>
    <t xml:space="preserve">Quotes source text removed from the published paper (copyright); answerable only in general terms from this copy.</t>
  </si>
  <si>
    <t xml:space="preserve">This question was not particularly well answered by many candidates. The question asked for a diagram to show either an increase in supply of the Yen or a fall in demand of the Yen to illustrate an expected depreciation of the Yen against the US$. Unfortunately, diagrams were often inaccurate and/or labelled incorrectly and therefore did not show the correct movement in the value of the Yen. Obviously, the best answers occurred when candidates understood why the supply and/or demand for the Yen would change in this way as money flowed out of Japan and were able to illustrate this diagrammatically to come to a logical conclusion. For many, this area of the syllabus continues to cause some confusion.</t>
  </si>
  <si>
    <t xml:space="preserve">9708_m21_22_Q1e</t>
  </si>
  <si>
    <t xml:space="preserve">e</t>
  </si>
  <si>
    <t xml:space="preserve">Discuss</t>
  </si>
  <si>
    <t xml:space="preserve">Consider</t>
  </si>
  <si>
    <t xml:space="preserve">5.3</t>
  </si>
  <si>
    <t xml:space="preserve">Monetary policy</t>
  </si>
  <si>
    <t xml:space="preserve">;5.3;4.6;4.3;</t>
  </si>
  <si>
    <t xml:space="preserve">5.3.3, 5.3.4, 4.6.4</t>
  </si>
  <si>
    <t xml:space="preserve">expansionary monetary policy, deflation, aggregate demand</t>
  </si>
  <si>
    <t xml:space="preserve">Discuss how continuing with an expansionary monetary policy is expected to boost inflation and consider whether it is likely to be successful.</t>
  </si>
  <si>
    <t xml:space="preserve">For clear understanding of the meaning of expansionary monetary policy. (1)
For an explanation of how this might stimulate aggregate demand and ‘boost inflation’ (Up to 2 marks for each component of aggregate demand that is considered) (Up to 3 marks)
For evaluative comment on whether this is likely to be successful. (Up to 2 marks)
Guidance: An expansionary monetary policy means cutting interest rates and/or increasing the money supply. We allow quantitative easing as expansionary monetary policy. It is expected that this will stimulate investment and/ or consumption and this will stimulate aggregate demand and might increase prices. It might also lead to a fall in the exchange rate and an increase in net exports. This might not work for a number of reasons.
For example, investment might be unresponsive to interest rate changes. The table also shows that despite loose monetary policy over the period, investment has stayed relatively stable. This could contribute to a conclusion.</t>
  </si>
  <si>
    <t xml:space="preserve">Most candidates demonstrated an understanding of what is meant by expansionary monetary policy although there was occasional confusion with fiscal policy. Most candidates then focused on consumption rather than investment or net exports and consequently analysis was often undeveloped and/or assertive. Consequently, evaluation was often weak or missing altogether and based on an assertion that AD and therefore prices would rise as a result rather than examining reasons why they might not.</t>
  </si>
  <si>
    <t xml:space="preserve">9708_m21_22_Q1f</t>
  </si>
  <si>
    <t xml:space="preserve">f</t>
  </si>
  <si>
    <t xml:space="preserve">;5.2;4.3;6.3;</t>
  </si>
  <si>
    <t xml:space="preserve">5.2.6, 5.2.7, 4.3.5</t>
  </si>
  <si>
    <t xml:space="preserve">government spending, expansionary fiscal policy, external demand</t>
  </si>
  <si>
    <t xml:space="preserve">Discuss whether increases in government spending can offset risks to Japan’s economy if a downturn in foreign economies occurs.</t>
  </si>
  <si>
    <t xml:space="preserve">For an explanation of the risks to Japan’s economy if a downturn in foreign economies occurs. (Up to 1 mark)
For an explanation of how fiscal policy could be used to offset risks to the economy of Japan (Up to 3 marks)
For evaluative comment that reaches a reasoned conclusion (2 marks)
Guidance: If there is a downturn in foreign economies Japan would experience falling exports and this would decrease aggregate demand. This would result in falling incomes and unemployment. Increased government spending could be adopted to boost domestic demand if world trade falls. It could also be used to offset the impact upon consumption of the sales tax rise that is planned in October.</t>
  </si>
  <si>
    <t xml:space="preserve">Most candidates gained some marks on this question which basically asked whether the impact of a fall in exports on AD and therefore, e.g. unemployment could be offset by an increase in government spending. Candidates who gained higher marks were able to fully explain the points they made and arrive at a reasoned conclusion. Weaker answers tended to make assertive points, i.e. without explanation and lacked any reasoned judgements. Some candidates did ignore the reference to the risks of a downturn in foreign economies and merely discussed the impact of an increase in government spending which failed to answer the question. Section B Essays</t>
  </si>
  <si>
    <t xml:space="preserve">9708_m21_22_Q2a</t>
  </si>
  <si>
    <t xml:space="preserve">B</t>
  </si>
  <si>
    <t xml:space="preserve">One of 2, 3 or 4</t>
  </si>
  <si>
    <t xml:space="preserve">1.5</t>
  </si>
  <si>
    <t xml:space="preserve">Production possibility curves</t>
  </si>
  <si>
    <t xml:space="preserve">;1.5;1.3;</t>
  </si>
  <si>
    <t xml:space="preserve">1.5.3, 1.5.4, 1.3.1</t>
  </si>
  <si>
    <t xml:space="preserve">PPC, unused labour, natural resources, PPC shift</t>
  </si>
  <si>
    <t xml:space="preserve">Use production possibility curve (PPC) diagrams to explain the effect on an economy’s output of (i) increased use of its existing labour, and (ii) an increased availability of natural resources.</t>
  </si>
  <si>
    <t xml:space="preserve">For knowledge and understanding of a production possibility curve and application to show an increased use of its existing labour.
For a diagram of a PPC with appropriately labelled axes (1) showing a movement from a point within a PPC to a point on or nearer to the PPC curve (1)
For an explanation of how an improved utilisation of resources results in the change shown (Up to 2 marks)
(Up to 4 marks)
For knowledge and understanding of a production possibility curve and application to show an increased availability of natural resources.
For a diagram of a PPC with appropriately labelled axes (1) showing a shift outward of the curve (1)
For an explanation of how an increased availability of natural resources results in the change shown (Up to 2 marks)
(Up to 4 marks)
Guidance: An increased use of existing labour will lead to a fall in unemployment, and this will result in increased total output as the point within the curve moves closer to the production frontier. There is improved utilisation of labour resources. An increased availability of natural resources will increase the potential output of the economy. It is also likely that total output will rise.</t>
  </si>
  <si>
    <t xml:space="preserve">This question required candidates to distinguish between a movement from a point within the PPC as a result of an increased use of existing labour and a shift outward of the PPC due to an increased availability of existing resources. Many candidates were able to gain some credit via correct diagrams, but explanations were often partial and tended to ignore any reference to the impact on an economy’s output. Some candidates thought both scenarios would lead to the same outcome, normally an outward shift and there were a number who incorrectly labelled diagrams as P and Q.</t>
  </si>
  <si>
    <t xml:space="preserve">9708_m21_22_Q2b</t>
  </si>
  <si>
    <t xml:space="preserve">5.4</t>
  </si>
  <si>
    <t xml:space="preserve">Supply-side policy</t>
  </si>
  <si>
    <t xml:space="preserve">;5.4;1.3;</t>
  </si>
  <si>
    <t xml:space="preserve">5.4.3, 1.3.1</t>
  </si>
  <si>
    <t xml:space="preserve">supply-side policy, labour supply, enterprise</t>
  </si>
  <si>
    <t xml:space="preserve">Discuss the view that supply side policies to increase the supply of labour to an economy are likely to be more successful than those designed to increase the supply of entrepreneurship.</t>
  </si>
  <si>
    <t xml:space="preserve">For analysis of at least two supply side measures that are designed to increase the supply of labour to an economy. If only one measure considered then 3 maximum (Up to 4 marks)
For analysis of at least two supply side measures that are designed to increase the supply of entrepreneurship to the economy. If only one measure considered then 3 maximum (Up to 4 marks)
For evaluative comment on which policies are likely to be successful (3) that reaches a reasoned conclusion (1)
Guidance: Supply of labour: Training to enter the labour force, relaxation of immigration controls, reduction of income taxes, raising of the retirement age etc. Supply of entrepreneurship: Training in management skills, reduction in business taxes, subsidies, start-up grants etc</t>
  </si>
  <si>
    <t xml:space="preserve">This question was slightly different to previous questions about supply side policy as it focused on increasing the supply of two factors of production, labour, and entrepreneurship, rather than the output of the economy. This clearly confused a number of candidates who seemed to fail to recognise this and simply discussed the possible success of supply side policy in general. Consequently, good answers were rare and where the question was correctly addressed, most answers focused on training and education rather than other possible policies such as fiscal policies such as taxes and grants. The important point to make is that it is important to read questions carefully.</t>
  </si>
  <si>
    <t xml:space="preserve">9708_m21_22_Q3a</t>
  </si>
  <si>
    <t xml:space="preserve">2.2</t>
  </si>
  <si>
    <t xml:space="preserve">PED, YED and XED</t>
  </si>
  <si>
    <t xml:space="preserve">;2.2;</t>
  </si>
  <si>
    <t xml:space="preserve">2.2.1, 2.2.3</t>
  </si>
  <si>
    <t xml:space="preserve">XED, complements, substitutes, cars</t>
  </si>
  <si>
    <t xml:space="preserve">Explain how you would use the concept of cross-elasticity of demand to measure the impact on the demand for cars when there is a rise in the price of fuel for cars and when there is a rise in the price of public transport.</t>
  </si>
  <si>
    <t xml:space="preserve">For knowledge and understanding of cross elasticity of demand. What it measures (1) Formula (1) (Up to 2 marks)
For application using the concept to explain the impact of a rise in the price of petrol on the demand for cars
• For stating that since cars and fuel are complements the coefficient will be negative (1)
• For explaining why a negative coefficient will result when there is a rise in the price of fuel (1)
• For explaining that the impact will be greater and the coefficient will be higher the closer the relationship (1) (Up to 3 marks)
For application using the concept to explain the impact of a rise in the price of public transport on the demand for cars
• For stating that since cars and public transport are substitutes the coefficient will be positive (1)
• For explaining why a positive coefficient will result when there is a rise in the price of public transport (1)
• For explaining that the impact will be greater and the coefficient will be higher the closer the relationship (1) (Up to 3 marks)</t>
  </si>
  <si>
    <t xml:space="preserve">This was a popular question and generally was answered quite well. Most candidates were able to explain cross-elasticity of demand and apply it to the demand for cars in the two scenarios of a rise in the price of fuel and a rise in the price of public transport. The better answers were differentiated by a closer examination of the size of the coefficient and not just whether it would be negative or positive. For future questions of this nature, candidates should be advised not just to consider whether goods are complements or substitutes, but also the strength of the relationship based on the value of the coefficient.</t>
  </si>
  <si>
    <t xml:space="preserve">9708_m21_22_Q3b</t>
  </si>
  <si>
    <t xml:space="preserve">6.2</t>
  </si>
  <si>
    <t xml:space="preserve">Protectionism</t>
  </si>
  <si>
    <t xml:space="preserve">;6.2;</t>
  </si>
  <si>
    <t xml:space="preserve">6.2.2, 6.2.3</t>
  </si>
  <si>
    <t xml:space="preserve">import controls, protectionism, car industry, retaliation</t>
  </si>
  <si>
    <t xml:space="preserve">A government is deciding whether to impose import controls to protect its car manufacturing industry. Discuss the factors that should be considered in this decision, and whether these import controls can be justified.</t>
  </si>
  <si>
    <t xml:space="preserve">For analysis of the possible reasons for protection of the car industry (Up to 4 marks)
For analysis of the factors that should be considered (Up to 4 marks)
(8 marks maximum)
For evaluative comment (Up to 3 marks) and 1 mark for a conclusion
Guidance: Possible reasons include: to save jobs, protect infant industries, prevent dumping, protect the current account of the balance of payments etc. Factors that should be considered include: whether the industries are really infant industries, whether the charge of dumping can be justified etc.</t>
  </si>
  <si>
    <t xml:space="preserve">The question concerned protection of a country’s car manufacturing industry and whether such protection could ever be justified through import controls. Most responses answered the question in general terms rather than with specific reference to car manufacturing and were generally stronger in terms of the reasons why protectionism may be justified. Some candidates focused on descriptions of the tools of protection which was not the question. Strong analysis which considered the strengths and weaknesses of both sides of the argument was rare and as such evaluation was often missing or very limited. As referred to in the Key messages and General comments, candidates need to be encouraged to explain arguments rather than make assertions and attempt to bring together the various arguments when attempting to make evaluative judgements.</t>
  </si>
  <si>
    <t xml:space="preserve">9708_m21_22_Q4a</t>
  </si>
  <si>
    <t xml:space="preserve">2.4</t>
  </si>
  <si>
    <t xml:space="preserve">The interaction of demand and supply</t>
  </si>
  <si>
    <t xml:space="preserve">;2.4;2.1;</t>
  </si>
  <si>
    <t xml:space="preserve">2.4.1, 2.4.2, 2.1.6</t>
  </si>
  <si>
    <t xml:space="preserve">market equilibrium, wages, costs of production, income effect on demand</t>
  </si>
  <si>
    <t xml:space="preserve">Explain what is meant by equilibrium price and quantity in the market for a good and how price and quantity will be affected by both a rise in the wage rate paid to the workers producing the good and a rise in wages paid to all workers in the economy.</t>
  </si>
  <si>
    <t xml:space="preserve">For knowledge and understanding of the meaning of equilibrium price and quantity.
• For knowledge that this occurs in a market where supply is equal to demand (1)
• For understanding that equilibrium price and quantity is when there is no tendency to change (1) (Up to 2 marks)
For application showing the impact of a rise in the wage rate
• For a diagram (or explanation) showing a shift in the supply curve to the left (1)
• For an explanation of why this will occur in terms of the rise in costs (1)
• For explaining (or illustrating) that the equilibrium price will rise and the equilibrium quantity will fall (1) (Up to 3 marks)
For application showing the impact of a rise in the wages in the economy in terms of a shift in the demand curve to the right
• For a diagram (or explanation) showing a shift in the demand curve to the right (or left in the case of an inferior good) (1)
• For an explanation of why this will occur in terms of the rise in incomes (1)
Guidance: • For explaining (or illustrating) the change in the equilibrium price and the equilibrium quantity depending upon the type of good chosen (1) (Up to 3 marks)
(8 marks maximum)</t>
  </si>
  <si>
    <t xml:space="preserve">Most candidates were able to explain that equilibrium occurs in a market when supply equals demand but did not elaborate this to further explain that this meant that there is no tendency to change. This meant they did not gain the full two marks available for knowledge and understanding. Most candidates were, however, able to distinguish between the effects causing an increase in costs for a good due to an increase in wage costs and an increase in demand (or fall depending on the nature of the good) because of wages for all workers rising. Consequently, there were some pleasing answers. Weaker responses tended to focus on the increase in supply costs and suggested an increase in AS rather than an individual firm’s supply and ignored any impact on demand for its product or suggested that AD would be affected.</t>
  </si>
  <si>
    <t xml:space="preserve">9708_m21_22_Q4b</t>
  </si>
  <si>
    <t xml:space="preserve">3.2</t>
  </si>
  <si>
    <t xml:space="preserve">Methods and effects of government intervention in markets</t>
  </si>
  <si>
    <t xml:space="preserve">;3.2;3.1;</t>
  </si>
  <si>
    <t xml:space="preserve">3.2.1, 3.2.2, 3.2.4, 3.1.1</t>
  </si>
  <si>
    <t xml:space="preserve">government intervention, price controls, taxes and subsidies, resource allocation</t>
  </si>
  <si>
    <t xml:space="preserve">Discuss whether government policies to influence the free market price for a good can ever improve the allocation of resources in that market.</t>
  </si>
  <si>
    <t xml:space="preserve">For analysis of at least two policies to influence the free market price for a good. If only one measure considered then 3 maximum. (Up to 4 marks)
For analysis that considers the advantages and disadvantages of using these policies. (Up to 4 marks)
For evaluative comment on whether the policies ‘can ever improve’ the allocation of resources (Up to 3 marks) and 1 mark for a conclusion
Guidance: Policies include maximum and minimum prices, indirect taxes, subsidies, information campaigns etc. The advantages and disadvantages must relate to the policies chosen. For example, maximum prices might lead to shortages, subsidies might be very expensive as might information campaigns.</t>
  </si>
  <si>
    <t xml:space="preserve">Most candidates focused on policies such as minimum prices and/or maximum prices although subsidies were occasionally referred to. Once again, there was a tendency to explain the mechanics of the policies rather than directly addressing the question of whether the policies could ever improve the allocation of resources in a market. It is important to note that simply displaying knowledge and understanding of, e.g. a concept is not analysis. It requires some assessment of its usefulness, e.g. via an explanation of strengths and weaknesses in the context of the question. Such an approach leads to a more meaningful judgement and conclusion whereas simply demonstrating knowledge and understanding invariably leads to unjustified assertions, The difference between these two approaches distinguishes between higher and lower marks. 9708 Economics February/March 2021</t>
  </si>
  <si>
    <t xml:space="preserve">9708_s21_21_Q1ai</t>
  </si>
  <si>
    <t xml:space="preserve">May/June</t>
  </si>
  <si>
    <t xml:space="preserve">9708/21</t>
  </si>
  <si>
    <t xml:space="preserve">a(i)</t>
  </si>
  <si>
    <t xml:space="preserve">Describe</t>
  </si>
  <si>
    <t xml:space="preserve">6.3</t>
  </si>
  <si>
    <t xml:space="preserve">Current account of the balance of payments</t>
  </si>
  <si>
    <t xml:space="preserve">;6.3;</t>
  </si>
  <si>
    <t xml:space="preserve">6.3.2</t>
  </si>
  <si>
    <t xml:space="preserve">current account balance, data trend</t>
  </si>
  <si>
    <t xml:space="preserve">Vietnam – fruit and vegetable exports to China</t>
  </si>
  <si>
    <t xml:space="preserve">Describe the overall trend in Vietnam’s current account balance between Q1 2017 and Q2 2018.</t>
  </si>
  <si>
    <t xml:space="preserve">A deficit at the beginning of the period, followed by surpluses OR Generally increasing/improving balance over the period (one exception) (1 mark)</t>
  </si>
  <si>
    <t xml:space="preserve">9708_m22_22_Q1a (59%), 9708_s24_21_Q1ai (56%)</t>
  </si>
  <si>
    <t xml:space="preserve">9708_s21_21_Q1aii</t>
  </si>
  <si>
    <t xml:space="preserve">a(ii)</t>
  </si>
  <si>
    <t xml:space="preserve">exports, data calculation</t>
  </si>
  <si>
    <t xml:space="preserve">Calculate the value of Vietnam’s exports of fruit and vegetables to China in the first four months of 2018.</t>
  </si>
  <si>
    <t xml:space="preserve">US$1 billion (US$1.001 billion) (1 mark)
Guidance: (Line one gives the total as US$1.3bn and the fourth paragraph says that China accounts for 77% of this.) Candidates do need to refer to billion, but not necessarily to US$</t>
  </si>
  <si>
    <t xml:space="preserve">9708_s21_21_Q1b</t>
  </si>
  <si>
    <t xml:space="preserve">2.1.3, 2.1.4, 2.4.2</t>
  </si>
  <si>
    <t xml:space="preserve">determinants of demand, determinants of supply, exports</t>
  </si>
  <si>
    <t xml:space="preserve">Explain one possible demand factor and one possible supply factor that could have caused the increase in Vietnam’s export sales of fruit and vegetables.</t>
  </si>
  <si>
    <t xml:space="preserve">For an explanation of one possible demand reason (Up to 2 marks)
(1 mark for identification, 1 mark for further development)
For an explanation of a one possible supply reason (Up to 2 marks)
(1 mark for identification, 1 mark for further development)
Guidance: Demand factors could include:
• increase in income
• more effective advertising
• population growth
• tastes have changed in favour of the products, e.g. healthy living
Supply factors could include:
• use of more land
• more favourable weather conditions
• reduction in costs of production
• improved technology</t>
  </si>
  <si>
    <t xml:space="preserve">9708_s22_23_Q1bii (61%)</t>
  </si>
  <si>
    <t xml:space="preserve">9708_s21_21_Q1c</t>
  </si>
  <si>
    <t xml:space="preserve">2.1</t>
  </si>
  <si>
    <t xml:space="preserve">Demand and supply curves</t>
  </si>
  <si>
    <t xml:space="preserve">;2.1;6.2;</t>
  </si>
  <si>
    <t xml:space="preserve">2.1.6, 6.2.2</t>
  </si>
  <si>
    <t xml:space="preserve">administrative barriers, costs of production, supply shift</t>
  </si>
  <si>
    <t xml:space="preserve">Explain how complying with administrative burdens on trade will affect Vietnam’s supply of fruit and vegetables for export.</t>
  </si>
  <si>
    <t xml:space="preserve">Higher costs of production will shift supply to the left and decrease the amount available to export. (Up to 2 marks)
Guidance: Possible effects could include:
• fruit and vegetable exporters could face additional costs in satisfying administrative burdens on trade
• these could include strict hygiene and food safety regulations
• this could bring about an increase in the price of the products
• regulations could, however, lead to a higher quality of products being supplied</t>
  </si>
  <si>
    <t xml:space="preserve">9708_s21_21_Q1d</t>
  </si>
  <si>
    <t xml:space="preserve">6.1</t>
  </si>
  <si>
    <t xml:space="preserve">The reasons for international trade</t>
  </si>
  <si>
    <t xml:space="preserve">;6.1;6.3;</t>
  </si>
  <si>
    <t xml:space="preserve">6.1.2, 6.1.4, 6.3.3</t>
  </si>
  <si>
    <t xml:space="preserve">dependence on one export market, specialisation, risk</t>
  </si>
  <si>
    <t xml:space="preserve">Discuss whether the risks of Vietnam relying very heavily on the Chinese market for the export of its fruit and vegetables are greater than the potential benefits.</t>
  </si>
  <si>
    <t xml:space="preserve">For an explanation of the potential risks. (Up to 3 marks)
For an explanation of the potential benefits. (Up to 3 marks)
Reserve 1 mark for a conclusion
Guidance: Potential risks of the Chinese market:
• high proportion of trade in fruit and vegetables with China may mean that
Vietnam is neglecting other potential trading contacts
• very large gap from China (77%) to second country (US with 2.84%) and third country (Japan with 2.70%)
• external shocks, or changes in the
Chinese economy, such as a recession, would have a large impact on Vietnam’s fruit and vegetables industry Potential benefits of the Chinese market:
• with 77% of the trade in fruit and vegetables with China, close trading contacts would have been established
• security of trade in fruit and vegetables resulting from these trading contacts
• with established customers, discounts could be negotiated to secure future trade</t>
  </si>
  <si>
    <t xml:space="preserve">9708_s21_21_Q1e</t>
  </si>
  <si>
    <t xml:space="preserve">4.3</t>
  </si>
  <si>
    <t xml:space="preserve">AD and AS analysis</t>
  </si>
  <si>
    <t xml:space="preserve">;4.3;6.3;</t>
  </si>
  <si>
    <t xml:space="preserve">4.3.5, 4.3.12</t>
  </si>
  <si>
    <t xml:space="preserve">net exports, aggregate demand, AD/AS, inflation</t>
  </si>
  <si>
    <t xml:space="preserve">Using aggregate demand and aggregate supply analysis, discuss the possible impact on Vietnam’s economy of a sustained increase in its net exports.</t>
  </si>
  <si>
    <t xml:space="preserve">For an explanation of the potential advantages of a sustained increase in net exports using AD/AS analysis. (Up to 3 marks)
For an explanation of the potential disadvantages of a sustained increase in net exports using AD/AS analysis. (Up to 3 marks)
Reserve 1 mark for a conclusion
Guidance: Potential advantages:
• increase in exports would contribute positively to Vietnam’s current account balance
• increase in aggregate demand
• increase in incomes and employment
Potential disadvantages:
• increase in exports could mean less is available for the domestic market
• could impact on the rate of domestic inflation</t>
  </si>
  <si>
    <t xml:space="preserve">9708_s21_21_Q2a</t>
  </si>
  <si>
    <t xml:space="preserve">1.6</t>
  </si>
  <si>
    <t xml:space="preserve">Classification of goods and services</t>
  </si>
  <si>
    <t xml:space="preserve">;1.6;1.4;</t>
  </si>
  <si>
    <t xml:space="preserve">1.6.1, 1.6.2, 1.4.2</t>
  </si>
  <si>
    <t xml:space="preserve">private goods, free goods, public goods, market economy</t>
  </si>
  <si>
    <t xml:space="preserve">Explain whether private goods, free goods and public goods will all be sold in a free market economy.</t>
  </si>
  <si>
    <t xml:space="preserve">For Knowledge and Understanding
For knowledge and understanding of private goods, free goods and public goods. Up to 2 marks)
For knowledge and understanding of just two types of good. (Up to 1 mark)
2 marks maximum
For Application Explanation of the market mechanism in relation to the three types of good
Up to 2 marks for an explanation of each type of good)
6 marks maximum
Guidance: Free goods are not sold in a free market economy:
• are not scarce and so do not have a market price attached to them
• the supply equals the demand at zero price
• have no property rights associated with them
• require no factors of production for their enjoyment
Private goods are sold in a free market economy:
• economic goods that are consumed by an individual for their own benefit
• there is rivalry in consumption, i.e. when a product is consumed by one person, it cannot be consumed by another
• there is excludability in consumption, i.e. when a product is consumed by one person, all others are excluded from it
Public goods are not sold in a free market economy:
• are non-rival
• are non-excludable
• are non-rejectable
Examples of free goods: air, sunshine Examples of private goods: most products in an economy, such as food and clothing; can include examples of merit goods/demerit goods Examples of public goods: street lighting, defence and police</t>
  </si>
  <si>
    <t xml:space="preserve">9708_w23_22_Q3a (55%)</t>
  </si>
  <si>
    <t xml:space="preserve">9708_s21_21_Q2b</t>
  </si>
  <si>
    <t xml:space="preserve">;3.2;2.4;1.4;</t>
  </si>
  <si>
    <t xml:space="preserve">3.2.3, 2.4.4</t>
  </si>
  <si>
    <t xml:space="preserve">direct provision, price mechanism, resource allocation</t>
  </si>
  <si>
    <t xml:space="preserve">Discuss whether the direct provision of goods and services by the government prevents the price mechanism from working effectively.</t>
  </si>
  <si>
    <t xml:space="preserve">For Analysis Analysis of the prevention of the price mechanism from working effectively. (Up to 4 marks)
Analysis of the potential fact that it does not prevent the price mechanism from working effectively. (Up to 4 marks)
8 marks maximum
For Evaluation
For exercising some judgement on whether the direct provision of goods and services by the government prevents the price mechanism from working effectively. (Up to 4 marks)
Reserve 1 mark for a conclusion
4 marks maximum
Guidance: The effect of direct provision of goods and services by the government:
• does it prevent the price mechanism from rationing?
• does it prevent the price mechanism from signalling?
• does it prevent the price mechanism from transmitting preferences?
The direct provision of goods and services by the government will be financed through the tax system, e.g. education and health care, and so will not be allocated through a price mechanism. However, education and health care can also be provided through a price mechanism and in this situation the mechanism can function as a rationing and signalling device and as a way of transmitting preferences</t>
  </si>
  <si>
    <t xml:space="preserve">9708_s21_21_Q3a</t>
  </si>
  <si>
    <t xml:space="preserve">2.5</t>
  </si>
  <si>
    <t xml:space="preserve">Consumer and producer surplus</t>
  </si>
  <si>
    <t xml:space="preserve">;2.5;2.2;</t>
  </si>
  <si>
    <t xml:space="preserve">2.5.1, 2.5.3, 2.2.6</t>
  </si>
  <si>
    <t xml:space="preserve">consumer surplus, price fall, PED, luxury vs necessity</t>
  </si>
  <si>
    <t xml:space="preserve">With the aid of diagrams, explain how consumer surplus is affected by a decrease in the price of a luxury product with many substitutes, and of an essential product with few substitutes.</t>
  </si>
  <si>
    <t xml:space="preserve">For Knowledge and Understanding
For correct diagram: Axes correctly labelled: P/Q (1 mark)
Existence of consumer surplus (1 mark)
2 marks maximum
For Application How consumer surplus is affected by a decrease in the price of a luxury product with many substitutes: elastic PED. (Up to 3 marks)
How consumer surplus is affected by a decrease in the price of an essential product with few substitutes: inelastic PED’ (Up to 3 marks)
6 marks maximum
Guidance: A decrease in the price of a product will increase the consumer surplus as more consumers are willing to pay the lower price. The extent of this will depend on the price elasticity of demand for a product. In the case of a luxury product with many substitutes, PED will be elastic. In the case of an essential product with few substitutes, PED will be inelastic.</t>
  </si>
  <si>
    <t xml:space="preserve">9708_s21_21_Q3b</t>
  </si>
  <si>
    <t xml:space="preserve">to what extent</t>
  </si>
  <si>
    <t xml:space="preserve">2.2.8</t>
  </si>
  <si>
    <t xml:space="preserve">YED, XED, business decisions</t>
  </si>
  <si>
    <t xml:space="preserve">Discuss the extent to which knowledge of the income elasticity of demand for its product is likely to be more useful to a business than knowledge of the cross elasticity of demand for its product.</t>
  </si>
  <si>
    <t xml:space="preserve">For Analysis Analysis of the usefulness of income elasticity of demand to a business, with the use of appropriate scenarios. (Up to 4 marks)
Analysis of the usefulness of cross elasticity of demand to a business, with the use of appropriate scenarios. (Up to 4 marks)
8 marks maximum
For Evaluation
For exercising some judgement on whether knowledge of the income elasticity of demand for its product is likely to be more useful to a business than knowledge of the cross elasticity of demand for its product with regard to changes in the price of the products of other businesses. (Up to 4 marks)
Reserve 1 mark for a conclusion
4 marks maximum
Guidance: Income elasticity of demand can be useful to a business in relation to:
• normal goods (positive YED)
• inferior goods (negative YED)
• economic development of a country
• boom or recession: effect on business planning
Cross elasticity of demand can be useful to a business in relation to:
• substitutes/alternative demand (positive XED)
• complements/joint demand (negative
XED)</t>
  </si>
  <si>
    <t xml:space="preserve">9708_w22_21_Q2b (56%), 9708_m24_22_Q3b (69%), 9708_w25_21_Q2b (64%), 9708_w25_22_Q2b (59%)</t>
  </si>
  <si>
    <t xml:space="preserve">9708_s21_21_Q4a</t>
  </si>
  <si>
    <t xml:space="preserve">;6.4;</t>
  </si>
  <si>
    <t xml:space="preserve">floating exchange rate, depreciation, currency demand and supply</t>
  </si>
  <si>
    <t xml:space="preserve">With the aid of a diagram(s), explain one demand factor and one supply factor that would cause the value of a currency in a floating exchange rate system to depreciate.</t>
  </si>
  <si>
    <t xml:space="preserve">For Knowledge and Understanding
For correct diagram: Axes correctly labelled: P/Q of currency. (1 mark)
(The vertical axis needs to make it clear that it is an exchange rate) Market equilibrium shown. (1 mark)
2 marks maximum
For Application Explanation of one reason for a fall in demand (Up to 3 marks)
(1 mark for identification of a relevant factor; up to 2 marks for a detailed explanation) Explanation of one reason for an increase in supply (Up to 3 marks)
(1 mark for identification of a relevant factor; up to 2 marks for a detailed explanation)
6 marks maximum
Guidance: A fall in demand for a currency could be caused by a:
• the goods and services of a country are demanded less
• a country’s interest rate is decreased
An increase in the supply of a currency could be caused by:
• an increase in interest rates in other countries
• imported products are demanded more
Note: the question specifically refers to the depreciation of an exchange rate</t>
  </si>
  <si>
    <t xml:space="preserve">9708_w22_21_Q4a (62%), 9708_s23_21_Q5a (55%)</t>
  </si>
  <si>
    <t xml:space="preserve">9708_s21_21_Q4b</t>
  </si>
  <si>
    <t xml:space="preserve">;5.3;6.4;4.6;</t>
  </si>
  <si>
    <t xml:space="preserve">5.3.4, 6.4.5, 4.6.4</t>
  </si>
  <si>
    <t xml:space="preserve">monetary policy, inflation control, floating exchange rate, appreciation</t>
  </si>
  <si>
    <t xml:space="preserve">Discuss how likely it is that monetary policy would be successful in reducing inflation in an economy with a floating exchange rate.</t>
  </si>
  <si>
    <t xml:space="preserve">For analysis Analysis of the likely success of monetary policy in reducing inflation in an economy with a floating exchange rate (Up to 4 marks)
Analysis of the likely difficulties of monetary policy in reducing inflation in an economy with a floating exchange rate. (Up to 4 marks)
8 marks maximum
For evaluation
For exercising some judgement on how likely it is that monetary policy would be successful in reducing inflation in an economy with a floating exchange rate. (Up to 4 marks)
Reserve 1 mark for a conclusion
4 marks maximum
Guidance: Monetary policy can be used to correct inflation in an economy by:
• an increase in interest rates
• a reduction in the money supply
Cost-push inflation: an appreciation of a currency would lower import prices of finished products and raw materials/component parts Demand-pull inflation: an increase in interest rates and/or a decrease in the money supply would reduce aggregate demand and appreciate the currency
Evaluation: appropriate reference to elasticities, the J-curve effect and the Marshall-Lerner condition</t>
  </si>
  <si>
    <t xml:space="preserve">9708_w22_22_Q2b (58%), 9708_s23_21_Q4b (60%)</t>
  </si>
  <si>
    <t xml:space="preserve">9708_s21_22_Q1a</t>
  </si>
  <si>
    <t xml:space="preserve">Compare</t>
  </si>
  <si>
    <t xml:space="preserve">price level, data comparison</t>
  </si>
  <si>
    <t xml:space="preserve">Myanmar/Cambodia – EU tariffs on rice</t>
  </si>
  <si>
    <t xml:space="preserve">Compare the change in the price level in Myanmar with that in Cambodia between 2016 and 2018.</t>
  </si>
  <si>
    <t xml:space="preserve">Both price levels rose/both countries had inflation (1 mark)
The price level rose by more in Myanmar / less in Cambodia / the rate of increase was increasing in Myanmar and declining in Cambodia / prices were increasing at a faster rate in Myanmar than in Cambodia/the change in the price level was more volatile in Myanmar (1 mark)
Guidance: Do not credit answers that merely trawl through the data with no meaningful comparison If the candidate suggests that prices fell in Cambodia, 0 marks</t>
  </si>
  <si>
    <t xml:space="preserve">9708_s21_22_Q1b</t>
  </si>
  <si>
    <t xml:space="preserve">current account balance, data comparison</t>
  </si>
  <si>
    <t xml:space="preserve">Compare the current account balance of Myanmar with that of Cambodia in 2018.</t>
  </si>
  <si>
    <t xml:space="preserve">Both are in deficit (1 mark)
The deficit is a greater / more significant % of national income in Cambodia than in Myanmar (1 mark)
Guidance: If the candidate states that the deficit is higher in Cambodia then this must not be credited. Do not allow a reference to the current account being negative/better/worse.
For the second mark, the candidate must refer to % of national income as specified in the data i.e. Table 1.2</t>
  </si>
  <si>
    <t xml:space="preserve">9708_s21_22_Q1c</t>
  </si>
  <si>
    <t xml:space="preserve">;5.4;6.1;</t>
  </si>
  <si>
    <t xml:space="preserve">5.4.3, 6.1.4</t>
  </si>
  <si>
    <t xml:space="preserve">international competitiveness, supply-side policy, devaluation</t>
  </si>
  <si>
    <t xml:space="preserve">Explain any two policies that could improve the competitiveness of rice from Myanmar and Cambodia in the EU market.</t>
  </si>
  <si>
    <t xml:space="preserve">For the identification of a valid policy (1 mark) and for explanation of how the policy could improve the competitiveness of rice (1 mark)
e.g. government subsidies to rice producers (1 mark) should lead to lower prices for rice and therefore make rice more price competitive (1 mark)
Government incentives for rice producers to carry out R and D (1 mark) may improve the quality of rice and its competitiveness (1 mark)
Two policies required (2 × 2 marks)
Guidance: A number of policies are acceptable. These include government subsidisation mentioned in the text:
• export subsidies
• devaluation of the currency to reduce export prices etc.
Do not reward references to depreciation unless it is made clear that this is a ‘managed’ depreciation. Policies can also be designed to improve quality, productivity, etc. The policies must relate to government action and not action by individual firms (note – the gov action could be from either Myanmar/Cambodia OR from the EU.)</t>
  </si>
  <si>
    <t xml:space="preserve">9708_s21_22_Q1d</t>
  </si>
  <si>
    <t xml:space="preserve">;6.2;2.2;</t>
  </si>
  <si>
    <t xml:space="preserve">6.2.2, 2.2.7</t>
  </si>
  <si>
    <t xml:space="preserve">tariffs, PED, XED, alternative markets</t>
  </si>
  <si>
    <t xml:space="preserve">Discuss two factors that will determine the extent of the impact the EU tariffs will have on the economies of Myanmar and Cambodia.</t>
  </si>
  <si>
    <t xml:space="preserve">For each relevant factor identified (1 mark) explained (1 mark) and developed to show the impact on the economies of Myanmar and Cambodia (1 mark)
e.g. The ped of rice (from Myanmar and Cambodia in the EU) (1 mark). If the demand is price inelastic this means that the rise in price will lead to a less than proportionate fall in QD (1 mark). Therefore, the exports of Myanmar and Cambodia may not significantly reduce (1 mark)
Two factors required (2 × 3 marks)
Guidance: General factors are required that apply to both countries. These include the price elasticity of demand for rice from these countries in the EU, the cross elasticity of demand between rice from Myanmar and Cambodia and rice from the EU, the extent to which they can find other markets, how the governments of these countries respond e.g. by providing subsidies/devaluing their currencies etc. The impact on the economy may be on balance of payments, employment, growth etc and needs to be clear. Reference to the fact that the tariffs will be substantial as quoted in the text, should be credited.</t>
  </si>
  <si>
    <t xml:space="preserve">9708_s21_22_Q1e</t>
  </si>
  <si>
    <t xml:space="preserve">;6.2;6.1;</t>
  </si>
  <si>
    <t xml:space="preserve">6.2.3, 6.1.2</t>
  </si>
  <si>
    <t xml:space="preserve">free trade, tariffs, EU, domestic producers</t>
  </si>
  <si>
    <t xml:space="preserve">Discuss the view that the EU should give tariff-free access to the EU market to all producers of rice.</t>
  </si>
  <si>
    <t xml:space="preserve">For analysis of the reason(s) why free trade is justified (up to 2 marks)
For analysis of the reason(s) why the market should be protected (up to 2 marks)
For evaluation that considers both sides of the argument and which is clearly related to the EU market for rice (up to 2 marks)
Guidance: This is effectively a question on free trade or protection. Good answers will need to recognise the context of the case study.
For example, if they suggest that the European rice farmers are an example of an inefficient ‘sunset industry’ they need to question whether these should be protected. If the market discussed is clearly a market other than rice then do not reward.</t>
  </si>
  <si>
    <t xml:space="preserve">9708_s21_22_Q2a</t>
  </si>
  <si>
    <t xml:space="preserve">State</t>
  </si>
  <si>
    <t xml:space="preserve">;3.2;1.6;3.1;</t>
  </si>
  <si>
    <t xml:space="preserve">3.2.1, 1.6.4, 3.1.2</t>
  </si>
  <si>
    <t xml:space="preserve">demerit good, indirect tax, resource allocation, sugar tax</t>
  </si>
  <si>
    <t xml:space="preserve">In 2018 the UK government, concerned about the rise in obesity, particularly amongst young people, imposed a tax on producers of sugar-sweetened drinks. State what is meant by a demerit good, and with the help of a diagram(s) explain how a tax on producers can improve the allocation of resources in the market for sugar-sweetened drinks.</t>
  </si>
  <si>
    <t xml:space="preserve">For knowledge and understanding of a demerit good which explains that the term refers to a good that has the cost of consumption underestimated/worse for the consumer than they realise/because of information failure (1 mark)
and is overconsumed (1 mark)
Application that uses a correctly labelled diagram to explain the impact of an indirect tax on price and quantity. Diagram showing a left shift in the S curve (1 mark) the fall in quantity consumed (1 mark) and the increase in price (1 mark) (up to 3 marks)
An explanation that the tax is increasing the cost of production for producers (1 mark), which increases the price and reduces the consumption (1 mark)
which removes the market failure/problem of information failure/improves the allocation of resources (1 mark) (up to 3 marks)
Guidance: The answer provided must show knowledge and understanding that a demerit good is one that is worse for the consumer than they realise because of information failure. The diagram(s) should show that demerit goods are under-priced and over consumed and also how a tax can improve allocation.</t>
  </si>
  <si>
    <t xml:space="preserve">9708_s21_22_Q2b</t>
  </si>
  <si>
    <t xml:space="preserve">;3.2;1.6;</t>
  </si>
  <si>
    <t xml:space="preserve">3.2.4, 3.2.1, 3.2.6, 1.6.4</t>
  </si>
  <si>
    <t xml:space="preserve">minimum price, demerit goods, public health, alternative policies</t>
  </si>
  <si>
    <t xml:space="preserve">Compare the likely effectiveness of a policy of imposing minimum prices on demerit goods with one other policy to improve public health and consider which policy is more likely to be successful.</t>
  </si>
  <si>
    <t xml:space="preserve">For analysis that explains the likely effectiveness of a minimum price on a demerit good. Maximum of 3 marks if only benefits or drawbacks are considered (up to 4 marks)
For analysis that explains the likely effectiveness of one other policy.
Maximum of 3 marks if only benefits or drawbacks are considered (up to 4 marks)
And for evaluation that clearly compares the effectiveness of both policies (3 marks) that leads to a reasoned conclusion as to which policy is more likely to be successful (1 mark)
Guidance: The effectiveness of a minimum price is dependent upon the ability to control prices and the likelihood that unauthorised / illegal / underground / informal / hidden markets might arise. Other policies include indirect taxes, education campaigns, subsidisation of alternatives. No credit for simply referring to part (a)</t>
  </si>
  <si>
    <t xml:space="preserve">9708_s21_22_Q3a</t>
  </si>
  <si>
    <t xml:space="preserve">XED, substitutes, complements, unrelated goods</t>
  </si>
  <si>
    <t xml:space="preserve">Explain how the concept of cross-elasticity of demand can be used to distinguish between goods that are substitutes, those that are complements and those that have no relationship.</t>
  </si>
  <si>
    <t xml:space="preserve">For knowledge and understanding of the concept of cross elasticity of demand. What it measures (1 mark) and the formula (1 mark)
And application explaining that a positive value indicates a substitute (1 mark) and explains why (1 mark)
And explains that a negative value indicates a complement (1 mark) and why (1 mark)
And explains that a value of zero indicates unrelated goods (1 mark) and why (1 mark)
Guidance: For knowledge and understanding, the candidate must display an awareness of the idea of ‘responsiveness’ as well as an accurate formula</t>
  </si>
  <si>
    <t xml:space="preserve">9708_s21_22_Q3b</t>
  </si>
  <si>
    <t xml:space="preserve">YED, PED, recession, business decisions</t>
  </si>
  <si>
    <t xml:space="preserve">An economy is experiencing a fall in average incomes during a severe recession. Discuss the extent to which the concepts of income elasticity of demand and price elasticity of demand might be useful to an entrepreneur in this economy and consider which would be more useful.</t>
  </si>
  <si>
    <t xml:space="preserve">For analysis that explains the usefulness of income elasticity of demand to an entrepreneur when incomes are falling. (Up to 4 marks)
For analysis that explains the usefulness of price elasticity of demand to an entrepreneur when incomes are falling (Up to 4 marks)
And for evaluation that clearly compares the usefulness of each concept (3 marks) that leads to a reasoned conclusion as to which is the most useful (1 mark)
Guidance: Income elasticity of demand would be useful to an entrepreneur because it would indicate those goods that are likely to experience a decrease in demand and those that should experience a rise in demand i.e. normal goods and inferior goods respectively Price elasticity of demand will inform an entrepreneur of the possibility of changing prices to increase revenue. The estimates might be used by an entrepreneur or firms for sales forecasting, investment decisions, production planning, location and new markets. There are no KU marks awarded in part (b) for merely explaining/ defining terms or phrases within the question</t>
  </si>
  <si>
    <t xml:space="preserve">9708_s21_22_Q4a</t>
  </si>
  <si>
    <t xml:space="preserve">;4.6;4.3;</t>
  </si>
  <si>
    <t xml:space="preserve">4.6.1, 4.3.12</t>
  </si>
  <si>
    <t xml:space="preserve">deflation, AD/AS, causes of deflation</t>
  </si>
  <si>
    <t xml:space="preserve">Explain what is meant by deflation and use aggregate demand and aggregate supply diagrams to explain how it might arise in an economy.</t>
  </si>
  <si>
    <t xml:space="preserve">For knowledge and understanding of the meaning of deflation. Deflation is a sustained fall (1 mark) in the general price level (1 mark)
One mark maximum for stating it is the opposite of inflation/negative inflation ( up to 2 marks max for KU) And application that uses an appropriate and accurate diagram to show how deflation might be caused by a fall in aggregate demand. For an explanation why AD may fall (1 mark) a diagram that shows the resulting change in general price level (1 mark) and explains how this causes deflation (1 mark)
(up to 3 marks)
And application that uses an appropriate and accurate diagram to show how deflation might be caused by a rise in aggregate supply. For an explanation as to why AS may increase (1 mark) a diagram that shows the resulting change in general price level (1 mark) and explains how this causes deflation (1 mark) (up to 3 marks)
Guidance: Do not reward ‘micro’ diagrams showing S/D, P/Q Reasons why AD may fall include: fall in either C, I, G, X or rise in M. Reasons why AS may rise include: increased investment, falling costs</t>
  </si>
  <si>
    <t xml:space="preserve">9708_s24_22_Q1b (58%)</t>
  </si>
  <si>
    <t xml:space="preserve">9708_s21_22_Q4b</t>
  </si>
  <si>
    <t xml:space="preserve">compare two options</t>
  </si>
  <si>
    <t xml:space="preserve">;5.3;5.2;4.6;</t>
  </si>
  <si>
    <t xml:space="preserve">5.3.3, 5.2.6, 4.6.1</t>
  </si>
  <si>
    <t xml:space="preserve">monetary policy, fiscal policy, deflation</t>
  </si>
  <si>
    <t xml:space="preserve">Discuss whether a government should use monetary policy or fiscal policy to solve the problem of deflation in an economy.</t>
  </si>
  <si>
    <t xml:space="preserve">For analysis that explains how monetary policy can be used to stimulate aggregate demand with due reference to the strengths and weaknesses of this approach. Maximum 3 marks if only strengths or weaknesses are explained (up to 4 marks)
For analysis that explains how fiscal policy can be used to stimulate aggregate demand with due reference to the strengths and weaknesses of this approach. Maximum 3 marks if only strengths or weaknesses are explained (up to 4 marks)
And for evaluation that clearly compares the use of each policy to solve the problem of deflation (3 marks) that leads to a reasoned conclusion as to which policy may be the most appropriate (1 mark)
Guidance: Monetary policy can include exchange rate policy and should be rewarded. The evaluation here should compare the strengths and weaknesses of each approach and arrive at a conclusion based upon this assessment. If a candidate gets MP and FP the wrong way around throughout their response then award a max of [1 + 1] marks for an understanding of both economic policy instruments. A response such as this should be recorded as [1 + 1 + 0] in the text box. There are no KU marks awarded in part (b) for merely explaining / defining terms or phrases within the question</t>
  </si>
  <si>
    <t xml:space="preserve">9708_s22_23_Q3b (61%)</t>
  </si>
  <si>
    <t xml:space="preserve">9708_s21_23_Q1ai</t>
  </si>
  <si>
    <t xml:space="preserve">9708/23</t>
  </si>
  <si>
    <t xml:space="preserve">;2.1;</t>
  </si>
  <si>
    <t xml:space="preserve">2.1.2</t>
  </si>
  <si>
    <t xml:space="preserve">data trend, bus journeys</t>
  </si>
  <si>
    <t xml:space="preserve">Great Britain/Luxembourg – transport and free public transport</t>
  </si>
  <si>
    <t xml:space="preserve">Use the information in Fig. 1.1 to describe the changes in the number of journeys by bus in Great Britain from 1997/98 to 2017/18.</t>
  </si>
  <si>
    <t xml:space="preserve">Various possibilities including:
• Bus passenger journeys outside London have fallen over the period/from c 3.2 bn to c 2.7bn
• Bus passenger journeys in London increased up to 2013/14 but have then fallen slightly/overall have increased/from c 1.3 bn to c2.3 bn
• Overall bus passenger journeys have increased (1 mark for any of these)
Guidance: The data clearly shows that overall during the period bus passenger journeys outside of London have fallen BUT within London, over the same period bus passenger journeys have increased. Within London, passenger journeys increased up to 2013/14 but declined thereafter.</t>
  </si>
  <si>
    <t xml:space="preserve">Chart needed: Fig. 1.1 is a line chart with no printed values, so the source extract here cannot show it. Use the original paper.</t>
  </si>
  <si>
    <t xml:space="preserve">9708_s21_23_Q1aii</t>
  </si>
  <si>
    <t xml:space="preserve">;2.1;4.6;</t>
  </si>
  <si>
    <t xml:space="preserve">2.1.3, 4.6.2</t>
  </si>
  <si>
    <t xml:space="preserve">price changes, determinants of demand, index numbers</t>
  </si>
  <si>
    <t xml:space="preserve">Using the information in Fig. 1.2, explain one of the changes you have identified.</t>
  </si>
  <si>
    <t xml:space="preserve">Various possibilities including:
• Public transport fares have increased above the rate of inflation
• Bus passenger fares have increased faster than rail fares for most of the period
• Bus fares have increased at their largest rate of growth since 2016
• Substituting bus journeys for rail journeys
Identify the factor (1 mark) and explain with reference to the selected change in 1(a)(i) (1 mark)
OFR applied if candidate wrongly identifies changes for part a but then provides a valid explanation 1 +1
Guidance: Explanations are likely to focus on price elasticity of demand/consumer preferences and/or cross elasticity of demand/degree of substitutability between bus journeys and other forms of transport.</t>
  </si>
  <si>
    <t xml:space="preserve">Chart needed: Fig. 1.2 is a line chart with no printed values, so the source extract here cannot show it. Use the original paper.</t>
  </si>
  <si>
    <t xml:space="preserve">9708_s21_23_Q1b</t>
  </si>
  <si>
    <t xml:space="preserve">1.1</t>
  </si>
  <si>
    <t xml:space="preserve">Scarcity, choice and opportunity cost</t>
  </si>
  <si>
    <t xml:space="preserve">;1.1;3.2;</t>
  </si>
  <si>
    <t xml:space="preserve">1.1.3, 3.2.2</t>
  </si>
  <si>
    <t xml:space="preserve">opportunity cost, subsidy</t>
  </si>
  <si>
    <t xml:space="preserve">Explain how opportunity cost can be applied to the Great British government’s decision to subsidise public transport.</t>
  </si>
  <si>
    <t xml:space="preserve">A simple understanding of what opportunity cost is (1 mark)
Which is applied to a valid example in context (1 mark)
Guidance: Valid examples could include money committed to subsidising public transport may have been used for new roads, education, health services etc.</t>
  </si>
  <si>
    <t xml:space="preserve">9708_s21_23_Q1c</t>
  </si>
  <si>
    <t xml:space="preserve">;1.6;</t>
  </si>
  <si>
    <t xml:space="preserve">1.6.1</t>
  </si>
  <si>
    <t xml:space="preserve">free goods, zero price, opportunity cost</t>
  </si>
  <si>
    <t xml:space="preserve">Explain whether public transport in Luxembourg has become a free good as a result of all prices being removed.</t>
  </si>
  <si>
    <t xml:space="preserve">Explain what is meant by a free good (1 mark)
Explain why this is not a free good (1 mark)
Guidance: Explanation must refer to factors of production being needed to provide transport services i.e. there is a cost involved which is not the case with free goods Do not reward answers that clearly confuse free goods with public goods</t>
  </si>
  <si>
    <t xml:space="preserve">9708_s21_23_Q1d</t>
  </si>
  <si>
    <t xml:space="preserve">;3.2;2.2;</t>
  </si>
  <si>
    <t xml:space="preserve">3.2.4, 2.2.6</t>
  </si>
  <si>
    <t xml:space="preserve">minimum price, congestion, PED for fuel</t>
  </si>
  <si>
    <t xml:space="preserve">Discuss whether a minimum price for fuel would be effective in reducing the congestion caused by the demand for roads exceeding supply.</t>
  </si>
  <si>
    <t xml:space="preserve">For an analysis of the effect of introducing a minimum price in a market. (up to 3 marks)
For analysis which explains why a minimum price may not be effective. (up to 3 marks)
MAXIMUM of 5 marks for analysis 1 mark for a justified conclusion as to whether a minimum price would be effective in reducing congestion
Guidance: A minimum price for fuel above the equilibrium price would increase the price for car users and in theory, lead to reduced demand and reduced congestion. However, this would only be effective if the demand for fuel was price elastic. In addition, it will lead to excess supply and the possible formation of informal markets. It also depends on the ability of the government to maintain and enforce the minimum price.</t>
  </si>
  <si>
    <t xml:space="preserve">9708_s21_23_Q1e</t>
  </si>
  <si>
    <t xml:space="preserve">;3.2;1.4;2.4;</t>
  </si>
  <si>
    <t xml:space="preserve">free provision, resource allocation, public transport</t>
  </si>
  <si>
    <t xml:space="preserve">Discuss whether making public transport free to consumers is the best way to allocate resources in public transport markets.</t>
  </si>
  <si>
    <t xml:space="preserve">Analysis of the benefits of free public transport (up to 3 marks)
Analysis of the benefits of any other valid policy (up to 3 marks)
MAXIMUM of 5 marks for analysis Award up to 1 mark for an evaluation of which policy is likely to be the most effective
Guidance: Various alternative policies could be – Maximum prices for bus and rail fares – Transfer payments for bus and rail transport users – Subsidies</t>
  </si>
  <si>
    <t xml:space="preserve">9708_s21_23_Q2a</t>
  </si>
  <si>
    <t xml:space="preserve">XED, complements, substitutes, tourism</t>
  </si>
  <si>
    <t xml:space="preserve">Market research has estimated that the cross-elasticity of demand for hotels in Barbados with respect to the price of flights to Barbados is –2.5, and that the cross-elasticity of demand for flights to Antigua with respect to the price of flights to Barbados is +0.5. Explain what is meant by cross-elasticity of demand and what these values mean in terms of the effect of changes in the price of flights to Barbados on (i) the demand for hotels in Barbados, and (ii) the demand for flights to Antigua.</t>
  </si>
  <si>
    <t xml:space="preserve">For knowledge and understanding of the concept of cross elasticity of demand. What it measures (1 mark) and the formula (1 mark)
(i) Identify that this would suggest hotels are a complement to flights due to the negative sign (1 mark) explain why the value is negative (1 mark) with reference to the size of the coefficient (1 mark)
(up to 3 marks)
(ii) Identify that this would suggest that flights to Antigua are a substitute for flights to Barbados due to the positive sign (1 mark) explain why the value is positive (1 mark) with reference to the size of the coefficient (1 mark)
(up to 3 marks)
Guidance: An increase in the price of flights to Barbados will lead to a larger percentage fall in demand for hotel accommodation (complements) and a smaller percentage increase in demand for flights to Antigua (substitutes). In the explanations, reference must be made to the significance of the size of the coefficient for the third mark</t>
  </si>
  <si>
    <t xml:space="preserve">9708_s21_23_Q2b</t>
  </si>
  <si>
    <t xml:space="preserve">3.2.1, 2.2.7</t>
  </si>
  <si>
    <t xml:space="preserve">indirect tax, tax revenue, PED, tourism</t>
  </si>
  <si>
    <t xml:space="preserve">Growing pressures on the budget and on the environment from increasing tourist numbers to Barbados led the government to announce a new indirect tax on incoming tourists in June 2018. Discuss the likely effectiveness of the new indirect tax in raising tax revenue and reducing tourist numbers.</t>
  </si>
  <si>
    <t xml:space="preserve">For an analysis of how the new tax will raise tax revenue and reduce tourist numbers (up to 4 marks)
For an analysis of other factors which may reduce the effectiveness of the new indirect tax (up to 4 marks)
Up to 4 marks for an evaluation of the likely impact on the market of the new indirect tax, that may also consider other ways in which the government could raise additional revenue and reduce tourist numbers. Reserve 1 mark for a reasoned conclusion as to whether the new indirect tax would be truly effective
Guidance: The effectiveness of the tax will depend on the PED for holidays in Barbados; incidence will vary with rate of tax. A diagram would help here although it is not essential. There are no KU marks awarded in part b for merely explaining/defining terms or phrases within the question</t>
  </si>
  <si>
    <t xml:space="preserve">9708_s21_23_Q3a</t>
  </si>
  <si>
    <t xml:space="preserve">;4.3;</t>
  </si>
  <si>
    <t xml:space="preserve">4.3.6, 4.3.7, 4.3.9</t>
  </si>
  <si>
    <t xml:space="preserve">aggregate supply, SRAS, LRAS, AS shift</t>
  </si>
  <si>
    <t xml:space="preserve">Explain what is meant by aggregate supply and explain one reason why the aggregate supply curve of an economy would shift outwards in (i) the short run, and (ii) the long run.</t>
  </si>
  <si>
    <t xml:space="preserve">For explanation of aggregate supply e.g. total output in an economy (1 mark) that distinguishes between short run and long run (1 mark) (up to 2 marks)
Identify a reason (1 mark) plus up to 2 marks for an explanation of why this causes the SRAS to move outwards. (up to 3 marks)
Identify a reason (1 mark) plus up to 2 marks for an explanation of why this causes the LRAS to move (up to 3 marks)
Guidance: A shift outwards of the AS curve can be due to – an increase in the supply of labour – net investment – other factor inputs – devaluation of the exchange rate – government regulations – discovery of new resources – better education and training – advances in technology</t>
  </si>
  <si>
    <t xml:space="preserve">9708_s21_23_Q3b</t>
  </si>
  <si>
    <t xml:space="preserve">;4.3;4.4;4.6;</t>
  </si>
  <si>
    <t xml:space="preserve">4.3.12, 4.4.5, 4.6.4</t>
  </si>
  <si>
    <t xml:space="preserve">aggregate demand increase, growth, inflation, employment</t>
  </si>
  <si>
    <t xml:space="preserve">Discuss whether an increase in aggregate demand would be of overall benefit for an economy.</t>
  </si>
  <si>
    <t xml:space="preserve">For an analysis of the benefits of an increase in aggregate demand to the economy (up to 4 marks)
For an analysis of the possible problems for an economy if aggregate demand increases (up to 4 marks)
Up to 4 marks for an evaluation which clearly compares the benefits and the problems for an economy resulting from an increase in AD with one mark reserved for a reasoned conclusion
Guidance: A good answer should consider firms, government and consumers/workers The benefits for an increase in AD may include economic growth, higher employment etc The problems may include inflation, current account deficit etc There are no KU marks awarded in part b for merely explaining/defining terms or phrases within the question</t>
  </si>
  <si>
    <t xml:space="preserve">9708_s21_23_Q4a</t>
  </si>
  <si>
    <t xml:space="preserve">6.2.1, 6.1.2</t>
  </si>
  <si>
    <t xml:space="preserve">free trade area, customs union, trade agreements</t>
  </si>
  <si>
    <t xml:space="preserve">Explain how a free trade area differs from a customs union and explain two reasons why countries move towards tariff-free trade.</t>
  </si>
  <si>
    <t xml:space="preserve">Up to 2 marks for an explanation of the difference between a free trade area and a customs union. Knowledge and understanding of what is meant by a free trade area (1 mark) and knowledge and understanding of how this differs from a customs union (1 mark)
Identify a reason why countries may move to tariff free trade (1 mark) and up to 2 marks that clearly explains the benefits to countries × 2 (3 marks maximum per reason)
Guidance: The description of the principle of comparative advantage is not required. The main difference is in terms of a common external tariff in a customs union. Reference to common policies as in the case of the EU is also OK. Various benefits of free trade include – specialisation – higher living standards – cheaper and better quality products and more choice – increased employment – to benefit from the principle of comparative advantage</t>
  </si>
  <si>
    <t xml:space="preserve">9708_s21_23_Q4b</t>
  </si>
  <si>
    <t xml:space="preserve">;6.1;6.2;</t>
  </si>
  <si>
    <t xml:space="preserve">6.1.2, 6.2.3</t>
  </si>
  <si>
    <t xml:space="preserve">free trade, net importers, net exporters</t>
  </si>
  <si>
    <t xml:space="preserve">Discuss the view that the gains from tariff-free trade are greater for countries who are net importers than for countries who are net exporters.</t>
  </si>
  <si>
    <t xml:space="preserve">Up to 4 marks for an analysis of the benefits/gains /advantages and disadvantages from tariff-free trade for countries who are net importers. Maximum of 3 marks for answers that only considers either advantages or disadvantages
Up to 4 marks for an analysis of the benefits/gains /advantages and disadvantages from tariff free trade for countries who are net exporters. Maximum of 3 marks for answers that only considers either advantages or disadvantages
Up to 4 marks for an evaluation that clearly compares the impact of tariff free trade on both countries who are net importers and those who are net exporters with 1 mark reserved for a valid conclusion as to whether the statement may be justified.
Guidance: This is an unusual statement, given that economic theory tends to concentrate on the benefits of increased exports not imports. The benefits from tariff-free imports can include cheaper supplies, better quality and range of goods, puts pressure on domestic producers to be more efficient etc. But the disadvantages may include a threat to domestic businesses. The benefits for net exporters include higher growth, increased employment etc. but the disadvantages may include higher inflation. There are no KU marks awarded in part b for merely explaining/defining terms or phrases within the question</t>
  </si>
  <si>
    <t xml:space="preserve">9708_w21_21_Q1a</t>
  </si>
  <si>
    <t xml:space="preserve">Oct/Nov</t>
  </si>
  <si>
    <t xml:space="preserve">4.6.3, 4.6.5</t>
  </si>
  <si>
    <t xml:space="preserve">real value of money, inflation</t>
  </si>
  <si>
    <t xml:space="preserve">Zimbabwe/Venezuela – hyperinflation</t>
  </si>
  <si>
    <t xml:space="preserve">Explain how inflation can halve the ‘real value’ of money.</t>
  </si>
  <si>
    <t xml:space="preserve">• The real value is the quantity of products that can be bought for a certain amount of money (1 mark)
• If prices double, the quantity that can be bought will be halved (1 mark)</t>
  </si>
  <si>
    <t xml:space="preserve">Most candidates were able to correctly explain how inflation could reduce the ‘real value’ of money, by commenting on its reduced purchasing power, but relatively few were able to explain that the ‘real value’ of money would be halved when prices of products doubled.</t>
  </si>
  <si>
    <t xml:space="preserve">9708_w21_21_Q1b</t>
  </si>
  <si>
    <t xml:space="preserve">;4.6;2.4;</t>
  </si>
  <si>
    <t xml:space="preserve">4.6.4, 2.4.2</t>
  </si>
  <si>
    <t xml:space="preserve">expectations, panic buying, demand shift, shortages</t>
  </si>
  <si>
    <t xml:space="preserve">With the aid of a diagram, explain why ‘rapid price rises encourage panic-buying by consumers, creating shortages that further increase inflation’.</t>
  </si>
  <si>
    <t xml:space="preserve">For an appropriate diagram that shows a further increase in inflation (up to 2 marks)
For an explanation of why rapid price rises encourage panic-buying by consumers, creating shortages that further increase inflation (up to 2 marks)
Guidance: Candidates can adopt a micro or a macro approach:
• increase in demand
• excess demand created in short run
• price increases
• causes expectation of further price increases
• so more purchases
• leading to a price spiral</t>
  </si>
  <si>
    <t xml:space="preserve">A number of candidates were able to explain why rapid price rises encouraged panic-buying by consumers, going on to explain that this was likely to cause shortages that would have the effect of further increasing inflation. It was expected that candidates would adopt a macro approach to the question, but candidates could adopt either a macro or a micro approach to answering the question, although if a micro approach was adopted, it was expected that candidates would refer to the rise in price of more than one product. Some of the diagrams were of a good standard but some were poorly drawn and/or poorly labelled. This was especially the case with the macro diagrams where the vertical axis was often labelled ‘P’ rather than ‘price level’ and the horizontal axis ‘Q’ rather than ‘real output’.</t>
  </si>
  <si>
    <t xml:space="preserve">9708_w21_21_Q1c</t>
  </si>
  <si>
    <t xml:space="preserve">;4.6;5.3;</t>
  </si>
  <si>
    <t xml:space="preserve">4.6.5</t>
  </si>
  <si>
    <t xml:space="preserve">functions of money, hyperinflation</t>
  </si>
  <si>
    <t xml:space="preserve">With reference to one function of money explain why hyperinflation in Zimbabwe caused the country to abandon its currency in 2008.</t>
  </si>
  <si>
    <t xml:space="preserve">For an explanation of the potential impact of hyperinflation on one function of money:
• a medium of exchange (up to 2 marks)
• a unit of account/a measure of value (up to 2 marks)
• a store of value/a store of wealth (up to 2 marks)
• a standard for deferred payment (up to 2 marks)
2 marks maximum
1 mark for the identification of one function of money 1 mark for the explanation of how hyperinflation might impact on this function and cause the country to abandon its currency
Guidance: Hyperinflation can prevent money serving as a medium of exchange when people lose confidence in money Hyperinflation, as in Zimbabwe, can prevent money serving as a unit of account/a measure of value in an economy Hyperinflation is likely to prevent money serving effectively as a store of value/a store of wealth because its real value, i.e. its purchasing power, will be reduced Hyperinflation is likely to prevent money serving effectively as a standard for deferred payment because people will be reluctant to exchange anything on a credit basis if the value of money is rapidly falling</t>
  </si>
  <si>
    <t xml:space="preserve">Functions of money: not in the 2023+ AS syllabus (now A Level).</t>
  </si>
  <si>
    <t xml:space="preserve">Many candidates were able to refer to one function of money, such as a medium of exchange, a unit of account/a measure of value, a store of value/wealth or a standard for deferred payment. However, a number of candidates referred to a characteristic or an attribute of money, rather than a function, such as portability or acceptability. Some of the answers were rather vague in terms of linking the function to hyperinflation, leading to Zimbabwe abandoning its currency in 2008.</t>
  </si>
  <si>
    <t xml:space="preserve">9708_w21_21_Q1d</t>
  </si>
  <si>
    <t xml:space="preserve">;5.3;4.3;4.6;</t>
  </si>
  <si>
    <t xml:space="preserve">5.3.4, 4.3.12</t>
  </si>
  <si>
    <t xml:space="preserve">monetary policy, investment, inflation, policy conflict</t>
  </si>
  <si>
    <t xml:space="preserve">Using aggregate demand and aggregate supply analysis, discuss whether it is possible to use monetary policy to achieve both a high level of investment and a low rate of inflation.</t>
  </si>
  <si>
    <t xml:space="preserve">For an explanation of the use of monetary policy to achieve both a high level of investment and a low rate of inflation, using AD/AS analysis (up to 3 marks)
For an explanation of the limitations of monetary policy in achieving both a high level of investment and a low rate of inflation, using AD/AS analysis (up to 3 marks)
5 marks maximum
Reserve 1 mark for a conclusion
6 marks maximum
Guidance: Monetary policy involves the use of changes in interest rates and/or changes in the money supply and/or changes in the exchange rate If an expansionary policy is used to encourage a high level of investment, interest rates could be lowered Such an approach is likely to increase the level of aggregate demand in an economy and this could lead to an increase in inflation if AD exceeds AS However, investment could increase AS in the economy and contribute to a lower rate of inflation The timeframe is important; AD increases will occur before the investment can increase AS and so it is likely that the short- run effect would be inflationary, but the long-run effect may not be It may be possible to lower the interest rate without causing inflation if an economy has spare capacity; if the LRAS curve is horizontal, investment could be encouraged (AD shifting right) without inflation</t>
  </si>
  <si>
    <t xml:space="preserve">A number of candidates did make a good attempt to discuss whether it was possible to use monetary policy to achieve both a high level of investment and a low rate of inflation, although many of them focused on one or the other objective, but not both. The better answers pointed out that both objectives could be achieved if an economy had spare capacity and there were some good references to the horizontal LRAS curve. A few candidates made no reference to aggregate demand and aggregate supply analysis in their answers, despite the fact that the question explicitly required candidates to do so. Some candidates wrote very generally about monetary policy without focusing on the two objectives stated in the question. A number of candidates did not offer a conclusion, even though it was a ‘discuss’ question.</t>
  </si>
  <si>
    <t xml:space="preserve">9708_w21_21_Q1e</t>
  </si>
  <si>
    <t xml:space="preserve">;4.6;3.3;</t>
  </si>
  <si>
    <t xml:space="preserve">consequences of hyperinflation, winners and losers, debtors and creditors</t>
  </si>
  <si>
    <t xml:space="preserve">Discuss whether everybody in an economy such as Venezuela would be worse off as a result of hyperinflation.</t>
  </si>
  <si>
    <t xml:space="preserve">For an explanation that some people in an economy could be worse off as a result of a high rate of inflation (up to 3 marks)
For an explanation that some people in an economy could be better off as a result of a high rate of inflation (up to 3 marks)
5 marks maximum
Reserve 1 mark for a conclusion
6 marks maximum
Guidance: Possible negative consequences of a high rate of inflation/hyperinflation:
• it erodes the real value of money
• it reduces individuals’ purchasing power
• it makes a country’s exports uncompetitive
• it creates a redistribution of income, with those on fixed incomes badly affected
• menu costs
• shoe leather costs
• it creates uncertainty in an economy
Possible positive consequences of a high rate of inflation/hyperinflation:
• if prices rise by more than costs, it can increase firms’ profits
• this can encourage firms to expand, leading to a reduction in the level of unemployment in an economy
• borrowers will gain from inflation because the debt will be less in real terms</t>
  </si>
  <si>
    <t xml:space="preserve">Many candidates made quite a good attempt to discuss whether everybody in an economy would be worse off as a result of hyperinflation, contrasting the potential disadvantages of inflation, such as the reduction of purchasing power and the existence of menu and shoe leather costs, with the potential advantages, such as the benefit to borrowers and the possible increase in firms’ profits. Unfortunately, a number of candidates did not offer a conclusion, even though it was a ‘discuss’ question.</t>
  </si>
  <si>
    <t xml:space="preserve">9708_w21_21_Q2a</t>
  </si>
  <si>
    <t xml:space="preserve">;1.5;</t>
  </si>
  <si>
    <t xml:space="preserve">1.5.3, 1.5.4</t>
  </si>
  <si>
    <t xml:space="preserve">PPC, movement vs shift, resources</t>
  </si>
  <si>
    <t xml:space="preserve">With the aid of a diagram, compare what happens to an economy’s resources to cause a movement along its production possibility curve with what happens to an economy’s resources to cause a shift of its production possibility curve.</t>
  </si>
  <si>
    <t xml:space="preserve">For correct diagram: Axes correctly labelled: Good A and Good B or equivalent (e.g. capital goods and consumer goods or agricultural products and manufactured products) (1 mark)
PPC correctly drawn, touching both axes (1 mark)
KU: 2 marks maximum
Application of PPC in terms of a movement along a curve (up to 3 marks)
Application of PPC in terms of a shift of a curve (up to 3 marks)
APP: 6 marks maximum
Guidance: The shift of the PPC can be to the right or to the left or both A movement along a PPC shows different combinations of outputs that can be produced from the given resources; this movement along a PPC from one point to another will involve a re-allocation of those resources A shift of a PPC, say to the right, comes about as a result of an increase in the quantity and/or quality of resource/s, leading to an expansion in the productive capacity or potential output of an economy, allowing more of one/both goods to be produced</t>
  </si>
  <si>
    <t xml:space="preserve">In this part of the question, candidates were required to compare what happens to an economy’s resources to cause a movement along its production possibility curve with what happens to an economy’s resources to cause a shift of its production possibility curve. Most answers demonstrated a sound knowledge and understanding of the differences between the two, with a movement involving opportunity cost and a reallocation of existing resources whereas a shift would involve an expansion in the productive capacity of an economy, actual economic growth and the ability to produce more of both goods. The question required a diagram to be drawn and two errors with the diagrams were noticeable on many scripts. Firstly, the axes were often labelled ‘P’ and ‘Q’ rather than ‘Good A’ and ‘Good B’ or ‘agricultural goods’ and ‘manufactured goods’. Secondly, the production possibility curves often failed to touch the two axes; it is a characteristic of such curves that they must touch the two axes. In a few cases, the reference to a production possibility curve was not understood and candidates drew a demand and supply diagram instead of a PPC.</t>
  </si>
  <si>
    <t xml:space="preserve">9708_w21_21_Q2b</t>
  </si>
  <si>
    <t xml:space="preserve">absolute claim (always/only/alone); benefits vs costs</t>
  </si>
  <si>
    <t xml:space="preserve">1.4</t>
  </si>
  <si>
    <t xml:space="preserve">Resource allocation in different economic systems</t>
  </si>
  <si>
    <t xml:space="preserve">;1.4;</t>
  </si>
  <si>
    <t xml:space="preserve">1.4.1, 1.4.2</t>
  </si>
  <si>
    <t xml:space="preserve">planned economy, market economy, transition</t>
  </si>
  <si>
    <t xml:space="preserve">Discuss whether the advantages of a transition from a planned economy to a market economy always outweigh the disadvantages.</t>
  </si>
  <si>
    <t xml:space="preserve">For Analysis Analysis of the advantages of a transition from a planned economy to a market economy (up to 4 marks)
Analysis of the disadvantages of a transition from a planned economy to a market economy (up to 4 marks)
AN: 8 marks maximum
For Evaluation
For exercising some judgement on whether the advantages of a transition from a planned economy to a market economy always outweigh the disadvantages (up to 4 marks)
Reserve 1 mark for a conclusion EV: 4 marks maximum
Guidance: Advantages of a transition from a planned economy to a market economy:
• existence of price mechanism
• prices operate as signals to indicate consumer preferences
• private sector ownership/decision- making with no or very little government intervention
• competition between firms can lead to greater efficiency
Disadvantages of a transition from a planned economy to a market economy:
• some products will be under-provided and under-consumed
• some products will be over-provided and over-consumed
• some products will not be provided or consumed at all
• there will be consequences of information failure
In addition to the market failures outlined above, there could also be negative consequences of a market economy, including:
• a higher level of unemployment
• a higher level of inflation</t>
  </si>
  <si>
    <t xml:space="preserve">9708_m22_22_Q2b (75%)</t>
  </si>
  <si>
    <t xml:space="preserve">In the second part of the question, candidates were required to discuss whether the advantages of a transition from a planned economy to a market economy always outweighed the advantages. Most candidates were able to provide quite a reasonable analysis of the various advantages, such as the operation of the price mechanism in signalling consumer preferences and the possibility of competition between firms leading to greater efficiency, and the various disadvantages, such as the under-production of merit goods, the over-production of demerit goods and the non-provision of public goods. There was a very clear ‘steer’ in the question, which focused on whether the advantages would ‘always’ outweigh the disadvantages, strongly indicating that this might not always be the case. A few candidates misread the question and wrote about a transition from a planned economy to a mixed economy rather than to a market economy. Most candidates provided little, if any, evaluation, even though four marks were available for evaluation in addition to the eight marks available for analysis.</t>
  </si>
  <si>
    <t xml:space="preserve">9708_w21_21_Q3a</t>
  </si>
  <si>
    <t xml:space="preserve">;3.2;2.5;</t>
  </si>
  <si>
    <t xml:space="preserve">3.2.4, 2.5.1</t>
  </si>
  <si>
    <t xml:space="preserve">minimum price, excess supply, consumers and producers</t>
  </si>
  <si>
    <t xml:space="preserve">With the aid of a diagram, explain the consequences for consumers and producers of introducing a minimum price in the market for a product.</t>
  </si>
  <si>
    <t xml:space="preserve">For Knowledge and Understanding
For correct diagram: Axes correctly labelled: P/Q (1 mark)
Minimum price shown above equilibrium in diagram (demand and supply curves need to be correctly labelled) (1 mark)
KU: 2 marks maximum
For Application Consequences for consumers of the establishment of a minimum price in a market (up to 3 marks)
Consequences for producers of the establishment of a minimum price in a market (up to 3 marks)
APP: 6 marks maximum
Guidance: Consequences for consumers of introducing an effective minimum price in the market for a product:
• consumers will need to pay a higher price compared to the price that would have been charged where demand and supply in a market were in equilibrium
• this will discourage the consumption of the product by consumers
• this will be beneficial for consumers if the product is a demerit good
Consequences for producers of introducing an effective minimum price in the market for a product:
• the minimum price will help producers to increase their incomes
• there will be an excess supply that consumers do not buy at the higher minimum price
• government action may be required to buy up this excess supply or to restrict production</t>
  </si>
  <si>
    <t xml:space="preserve">9708_m23_22_Q3b (57%)</t>
  </si>
  <si>
    <t xml:space="preserve">In this part of the question, candidates were required to explain the consequences for consumers and producers of introducing a minimum price in the market for a product. Most candidates were able to consider some of the consequences for consumers, such as the fact that they would be required to pay a higher price for the product than would otherwise be the case, although many of them pointed out that if this discouraged the consumption of the product by consumers, this would be beneficial to them if the product was a demerit good. Most candidates were also able to consider some of the consequences for producers, such as the fact that it would be likely to create a situation of excess supply. A number of candidates made some useful references to the impact on consumer surplus and producer surplus. The question required a diagram to be drawn and although most of these showed the position of the minimum price above the equilibrium position, a few of them incorrectly showed the price below the equilibrium position.</t>
  </si>
  <si>
    <t xml:space="preserve">9708_w21_21_Q3b</t>
  </si>
  <si>
    <t xml:space="preserve">;2.2;2.3;</t>
  </si>
  <si>
    <t xml:space="preserve">2.2.8, 2.3.5</t>
  </si>
  <si>
    <t xml:space="preserve">PED, PES, business decisions</t>
  </si>
  <si>
    <t xml:space="preserve">Discuss whether decisions made by a business are more likely to be influenced by knowledge of the price elasticity of demand for its product or by knowledge of the price elasticity of supply of its product.</t>
  </si>
  <si>
    <t xml:space="preserve">Analysis of the usefulness of knowledge of price elasticity of demand to a business (up to 4 marks)
Analysis of the usefulness of knowledge of price elasticity of supply to a business (up to 4 marks)
AN: 8 marks maximum
For exercising some judgement on whether decisions made by a business are more likely to be influenced by knowledge of the price elasticity of demand for its product or by knowledge of the price elasticity of supply of its product (up to 4 marks)
Reserve 1 mark for a conclusion EV: 4 marks maximum
Guidance: Potential usefulness of PED:
• it can be helpful in giving a business an indication of the extent to which a change in price may affect revenue
• this will show that to increase revenue, the price of an elastic good should be reduced and the price of an inelastic good should be increased
• however, to be able to make appropriate calculations, a businessman will need to take into account the availability of substitutes, the width of the definition of the product, the amount spent on the product and the time period under consideration
Potential usefulness of PES:
• it can be helpful in giving a business an indication of the extent to which a change in the price of a product can lead to a change in the quantity supplied of a product
• it can help a business to make decisions about how much stock to hold
• it can help a business decide on the extent of spare capacity to provide for
• it can help a business decide on the factors of production it is going to need
Note: No marks for KU of PED and PES</t>
  </si>
  <si>
    <t xml:space="preserve">9708_m24_22_Q3b (57%), 9708_w25_21_Q2b (55%), 9708_w25_22_Q2b (58%)</t>
  </si>
  <si>
    <t xml:space="preserve">In the second part of the question, candidates were required to discuss whether decisions made by a business were more likely to be influenced by knowledge of the price elasticity of demand for its product or by knowledge of the price elasticity of supply of its product. There were a number of good answers which did attempt to analyse the impact of both elasticities on a business. In terms of PED, there was some useful analysis of how price changes could affect the revenue of a firm. In terms of PES, there was some useful analysis of how a firm would need to act in terms of its spare capacity and in relation to the amount of stock to hold. Unfortunately, a number of candidates focused on describing the two types of elasticity and yet there were no knowledge and understanding marks available. There were eight marks available for analysis and four marks for evaluation, but the quality of the evaluation was unfortunately rather limited, with candidates writing very little on which was likely to have the greater influence on a business.</t>
  </si>
  <si>
    <t xml:space="preserve">9708_w21_21_Q4a</t>
  </si>
  <si>
    <t xml:space="preserve">;6.4;6.3;</t>
  </si>
  <si>
    <t xml:space="preserve">6.4.1, 6.3.3</t>
  </si>
  <si>
    <t xml:space="preserve">fixed exchange rate, central bank intervention, foreign currency reserves, current account deficit</t>
  </si>
  <si>
    <t xml:space="preserve">With the aid of a diagram, explain how a central bank intervenes to maintain a fixed exchange rate when the economy is experiencing a current account deficit on its balance of payments.</t>
  </si>
  <si>
    <t xml:space="preserve">For correct diagram: Axes correctly labelled: Exchange rate or price of one currency in terms of another/Q of currency (1 mark)
Demand and supply curves correctly labelled (1 mark)
KU: 2 marks maximum
Explanation that a CA deficit causes downward pressure on the exchange rate (up to 3 marks)
Explanation of the intervention of a central bank to maintain the exchange rate (up to 3 marks)
APP: 6 marks maximum
Guidance: CA deficit means that demand for imports exceeds foreign demand for exports, so domestic demand for foreign currency exceeds foreign demand for the domestic currency. This will put downward pressure on the exchange rate If the value of a currency is about to fall, a central bank will increase demand by:
• buying the domestic currency, using their foreign currency reserves
• and/or increasing interest rates</t>
  </si>
  <si>
    <t xml:space="preserve">In this part of the question, candidates were required to explain, with the aid of a diagram, how a central bank might intervene to maintain a fixed exchange rate when a country was experiencing a current account deficit on its balance of payments. There were some reasonable answers in terms of what a central bank might do in such a situation, such as in relation to buying the currency by using foreign currency reserves and/or increasing interest rates. However, relatively few candidates made it clear that such a current account deficit would cause downward pressure on the exchange rate. In terms of the diagram, a common error was the incorrect labelling of the vertical axis as ‘P’; if the diagram is showing the value of one currency in terms of another, this needs to be made clear by labelling the vertical axis as the value of one currency in relation to the value of another or by simply labelling it ‘exchange rate’.</t>
  </si>
  <si>
    <t xml:space="preserve">9708_w21_21_Q4b</t>
  </si>
  <si>
    <t xml:space="preserve">6.5</t>
  </si>
  <si>
    <t xml:space="preserve">Policies to correct current account imbalances</t>
  </si>
  <si>
    <t xml:space="preserve">;6.5;</t>
  </si>
  <si>
    <t xml:space="preserve">6.5.1, 6.5.2</t>
  </si>
  <si>
    <t xml:space="preserve">expenditure-reducing policy, current account deficit, floating exchange rate</t>
  </si>
  <si>
    <t xml:space="preserve">Discuss whether expenditure-reducing policies are likely to reduce the current account deficit on the balance of payments for an economy with a floating exchange rate.</t>
  </si>
  <si>
    <t xml:space="preserve">Analysis of the limitations of expenditure-reducing policies in reducing the current account on the balance of payments for an economy with a floating exchange rate (up to 4 marks)
AN: 8 marks maximum
For exercising some judgement on whether expenditure-reducing policies are likely to reduce the current account deficit on the balance of payments for an economy with a floating exchange rate (up to 4 marks)
Reserve 1 mark for a conclusion EV: 4 marks maximum
Guidance: Expenditure-reducing policies are actions taken by a government to reduce the total level of spending in an economy They are designed to lead to:
• a fall in imports
• and/or a rise in exports
Examples can include:
• raising interest rates
• reducing money supply
• increasing taxes
• reducing public spending
Possible limitations can include:
• there may still be a strong demand for imports
• resources may not be released for exports</t>
  </si>
  <si>
    <t xml:space="preserve">9708_w22_21_Q4b (68%), 9708_m23_22_Q5b (62%), 9708_m24_22_Q4b (62%), 9708_w25_23_Q5b (59%)</t>
  </si>
  <si>
    <t xml:space="preserve">In the second part of the question, candidates were required to discuss whether expenditure- reducing policies were likely to reduce the current account deficit on the balance of payments for an economy with a floating exchange rate. There were a number of reasonable answers on expenditure-reducing policies, but these did not always focus on the reduction of the deficit and when they did, there was often no link provided with the existence of a floating exchange rate. Unfortunately, some candidates wrote about expenditure-switching, rather than expenditure- reducing, policies. Only a minority of candidates offered a sound evaluation in terms of exercising some judgement on whether expenditure-reducing policies were likely to reduce the current account deficit for an economy with a floating exchange rate.</t>
  </si>
  <si>
    <t xml:space="preserve">9708_w21_22_Q1a</t>
  </si>
  <si>
    <t xml:space="preserve">4.3.2</t>
  </si>
  <si>
    <t xml:space="preserve">imports, aggregate demand, data calculation</t>
  </si>
  <si>
    <t xml:space="preserve">India – slowing growth</t>
  </si>
  <si>
    <t xml:space="preserve">Calculate import expenditure as a percentage of total demand in India in quarter 1 2019.</t>
  </si>
  <si>
    <t xml:space="preserve">18.5% (1 mark)
Guidance: Method of calculation is not required, only the final answer. Accept 18.5</t>
  </si>
  <si>
    <t xml:space="preserve">The data gave percentages for consumption, investment, government, and export expenditure in relation to total demand. Candidates were asked to calculate the percentage of import expenditure. This required knowledge of the formula to calculate total demand and an understanding that the total value must be 100%. Most candidates knew the formula, and many wrote it down, but many failed to apply this knowledge. A common error was to simply add up the figures given which came to 118.5% and give this as the answer rather than recognising that the excess over 100% represented the amount of import expenditure, i.e., 18.5%.</t>
  </si>
  <si>
    <t xml:space="preserve">9708_w21_22_Q1bi</t>
  </si>
  <si>
    <t xml:space="preserve">b(i)</t>
  </si>
  <si>
    <t xml:space="preserve">2.2.1, 2.2.2</t>
  </si>
  <si>
    <t xml:space="preserve">YED, income tax cut</t>
  </si>
  <si>
    <t xml:space="preserve">The Indian government promised that it would cut income tax to ensure greater purchasing power for consumers. Explain how economists would measure the impact of a cut in income tax upon the demand for different goods such as scooters and smartphones.</t>
  </si>
  <si>
    <t xml:space="preserve">For recognition that they would use the income elasticity of demand (1 mark)
because this measures the response of demand for a good to a change in income (1 mark)
Guidance: For the first mark, all that is required is identification of the measure
For the second mark, this must explain what is being measured and/or provide a formula</t>
  </si>
  <si>
    <t xml:space="preserve">The first part of a two-part question. This required candidates to recognise that a cut in income tax would increase disposable income and that economists would therefore use YED to calculate the impact on demand for different goods. This knowledge plus some understanding of what YED measures was sufficient for both marks. Whilst many candidates did get full marks, many answered part b instead by focusing on the nature of scooters and smartphones and either failing to refer to the concept of YED or confusing it with PED therefore gaining 0 marks.</t>
  </si>
  <si>
    <t xml:space="preserve">9708_w21_22_Q1bii</t>
  </si>
  <si>
    <t xml:space="preserve">b(ii)</t>
  </si>
  <si>
    <t xml:space="preserve">2.2.3</t>
  </si>
  <si>
    <t xml:space="preserve">YED, normal goods, luxury goods</t>
  </si>
  <si>
    <t xml:space="preserve">The Indian government promised that it would cut income tax to ensure greater purchasing power for consumers. With reference to the data, explain whether the impact of the income tax cut is likely to be the same on the demand for scooters and the demand for smartphones.</t>
  </si>
  <si>
    <t xml:space="preserve">For an explanation that, according to the data, scooters show a decline in demand as incomes are rising, meaning they are inferior goods (1 mark)
Whereas smartphones show a rise in demand as incomes are rising, meaning they are normal or luxury goods (1 mark)
Guidance: Candidates need to explain that the impact will vary according to the nature of each type of good and apply it to the case of scooters and smartphones. The data suggest that there is ‘continuing growth of incomes’. The data also state that scooter sales are down, yet sales of smartphones have been growing faster than incomes are growing It can be concluded from the data that scooters are inferior goods and smartphones are normal or luxury goods (This would be sufficient for both marks)</t>
  </si>
  <si>
    <t xml:space="preserve">Candidates who gained full marks on part (i) often gained both marks for part (ii). However, in complete contradiction of the evidence in the data, some candidates claimed both scooters and smartphones were normal goods therefore failing to answer the question. Those candidates who had effectively answered part (ii) in part (i) often failed to reproduce their answer and made vague attempts to answer this question. This does emphasise the need to read the questions fully before attempting an answer.</t>
  </si>
  <si>
    <t xml:space="preserve">9708_w21_22_Q1c</t>
  </si>
  <si>
    <t xml:space="preserve">;5.4;</t>
  </si>
  <si>
    <t xml:space="preserve">5.4.3</t>
  </si>
  <si>
    <t xml:space="preserve">supply-side policy, competitiveness</t>
  </si>
  <si>
    <t xml:space="preserve">Using the information, identify one policy that could be considered a supply-side measure and explain how this policy could make Indian businesses more competitive.</t>
  </si>
  <si>
    <t xml:space="preserve">For an identification of a valid supply-side measure that could make Indian businesses more competitive (1 mark)
For an explanation of how this will make businesses more competitive (up to 2 marks)
The 3rd mark must refer specifically to ‘more competitive’. For example, one policy is to reduce business taxes (1) which will provide more available money to invest in new technology (1) which will in turn improve quality of goods/services and/or allow prices to be reduced, therefore making the business more competitive (1)
Guidance: Supply-side measures mentioned in the extract include cutting income taxes, cutting business taxes and improving infrastructure. However, any valid supply-side measure that might make Indian businesses more competitive is acceptable Any policy chosen as a supply-side measure should be explained as a supply- side tool rather than demand-side to gain any credit at all, even for identification. For example, cutting income taxes should not be credited if it is discussed in terms of a boost to consumption/demand, but only if discussed, for example, as increasing/ improving the labour force</t>
  </si>
  <si>
    <t xml:space="preserve">Responses to this question were generally very good and candidates were normally able to identify a valid supply side policy and apply it to explain how this would make Indian businesses more competitive. When approaching a 3-mark question of this type, there is generally 1 mark for identification of the policy, 1 for a brief explanation of how it works, and the 3rd mark is to develop this explanation – in this case to clearly show how Indian businesses would be made more competitive i.e., in terms of price and/or quality. In some cases, the policy was explained by reference to its effect on demand rather than supply and this gained 0 marks. Other problems included a lack of explanation and a simple reference to reducing the price OR a great deal of unnecessary explanation with no clear link to price and/or quality competitiveness. Both these latter problems meant that marks were reduced by at least 1.</t>
  </si>
  <si>
    <t xml:space="preserve">9708_w21_22_Q1d</t>
  </si>
  <si>
    <t xml:space="preserve">benefits vs costs</t>
  </si>
  <si>
    <t xml:space="preserve">;5.3;4.3;</t>
  </si>
  <si>
    <t xml:space="preserve">5.3.3, 5.3.4</t>
  </si>
  <si>
    <t xml:space="preserve">interest rate cut, aggregate demand, inflation risk</t>
  </si>
  <si>
    <t xml:space="preserve">Discuss whether the advantages of cutting interest rates in the Indian economy would outweigh the disadvantages.</t>
  </si>
  <si>
    <t xml:space="preserve">For an identification of the impact of the cut in interest rates upon any component of aggregate demand (1 mark)
For an explanation of how this will create possible advantages for India’s economy (up to 2 marks)
For an explanation of how this will create possible disadvantages for India’s economy (up to 2 marks)
For an evaluative comment on whether the advantages will outweigh the disadvantages (1 mark)
Guidance: Cutting interest rates will have a number of effects. There should be an increase in consumption and investment expenditure, and this will increase aggregate demand. In addition, the impact will be an outflow of foreign currency and a fall in the exchange rate. This should stimulate net exports and again aggregate demand will increase. The increase in aggregate demand will stimulate output and employment However, a disadvantage is that demand- pull inflation will occur, and this has internal and external consequences for India’s economy In evaluation, candidates may refer to the possible impact on LRAS due to possible additional investment. This may, of course, obviously offset any inflationary pressure</t>
  </si>
  <si>
    <t xml:space="preserve">Again, responses to this question were very pleasing and many candidates gained at least 4 marks out of the possible 6. Most candidates recognised the fact that a reduction in interest rates would lead to an increase in AD or at least one of the components. However, often a great deal of time was wasted in explaining why AD may increase at the expense of analysing the impacts on the Indian economy which was the focus of the question. The advantages discussed were normally an increase in employment and economic growth etc., and the main disadvantages discussed were demand pull inflation and a deficit on the current account due to possible extra spending on imports. The question did however expose a confusion between savings and investment as many candidates suggested that FDI would fall as interest rates fell which of course is not necessarily the case. It does emphasise the need to ensure that candidates fully understand the distinction between savings and investment in economics as this is an extremely common error. A fall in interest rates may lead to a fall in hot money inflows but this is not FDI. The fall in interest rates may also lead to a fall in the exchange rate and this was frequently referred to as a disadvantage without explaining why this may be the case. Clearly it may also be an advantage if it leads to an increase in exports and candidates need to be careful to explain the outcomes and not merely assume a depreciation is a disadvantage. Evaluation was generally quite weak with few candidates moving beyond a simple summary or unexplained conclusion.</t>
  </si>
  <si>
    <t xml:space="preserve">9708_w21_22_Q1e</t>
  </si>
  <si>
    <t xml:space="preserve">;1.6;3.2;1.4;</t>
  </si>
  <si>
    <t xml:space="preserve">1.6.2, 3.2.3, 1.4.1</t>
  </si>
  <si>
    <t xml:space="preserve">infrastructure, public goods, private vs public provision</t>
  </si>
  <si>
    <t xml:space="preserve">Consider whether roads and other items of infrastructure in India would be better provided by the private sector or by the government in India.</t>
  </si>
  <si>
    <t xml:space="preserve">For an explanation of why some infrastructure either could only or may be better provided by the government (up to 3 marks)
For an explanation of why some infrastructure may be better provided by the private sector (up to 3 marks)
5 marks maximum
Reserve 1 mark for a reasoned conclusion
Guidance: Reasons why some infrastructure may be better provided by the government may include accurate explanation of:
• provision of public goods, i.e. those with characteristics of non-rivalry and non- excludability, e.g. street lighting
• quasi-public goods, e.g. roads and bridges
• free rider problem
• merit goods
• scale of investment needed
Reasons for private sector provision may include:
• they are private goods and why, therefore, profit motive applies leading to better efficiency
• government budget restrictions
• opportunity cost
Note: explanations must be accurate, and credit must not be given to answers that simply assert all government funded infrastructure refers to public goods</t>
  </si>
  <si>
    <t xml:space="preserve">This question was not answered very well, and the main problem continues to be a lack of understanding of what a public good is. Many candidates either asserted that roads and bridges are public goods or merely grouped all infrastructure as a public good. Whilst it is true that the government funds and provides roads in many countries, they are not true public goods and because of their characteristics of being potentially excludable and rivalrous, they could be provided by the private sector. The distinction between public goods, private goods and merit goods needs to be emphasised to candidates to accurately answer such questions in future. The concept of ‘quasi’ or ‘semi’ public goods is accepted but of course this still means that the private sector could provide them. Overall, marks were low and valid evaluation was rare. Section B Essays</t>
  </si>
  <si>
    <t xml:space="preserve">9708_w21_22_Q2a</t>
  </si>
  <si>
    <t xml:space="preserve">;1.5;1.1;</t>
  </si>
  <si>
    <t xml:space="preserve">1.5.1, 1.5.2, 1.1.3</t>
  </si>
  <si>
    <t xml:space="preserve">PPC, opportunity cost, increasing opportunity cost</t>
  </si>
  <si>
    <t xml:space="preserve">Use a diagram(s) to explain how a production possibility curve can be used to show opportunity cost and why such a curve is usually drawn with increasing opportunity costs.</t>
  </si>
  <si>
    <t xml:space="preserve">For knowledge and understanding showing a diagram of a production possibility curve with correctly labelled axes (up to 2 marks)
And application that explains how a movement along the curve illustrates opportunity cost. What opportunity cost is with reference to the products in the diagram(1), for showing a movement along the curve and the impacts on the output of the different products on the diagram (1) and explaining how this demonstrates opportunity cost (1) (up to 3 marks)
And an explanation of why increasing opportunity costs are expected, curve must be concave and the significance explained (1), increasing opportunity costs clearly demonstrated on the diagram (1) and explained, e.g. because resources cannot be easily switched between products (1) (up to 3 marks)
Guidance: Clearly the candidate only needs to draw one diagram to answer this question However, if the only diagram used shows a straight line PPC, then the maximum mark
must be 5 as it cannot be used to answer the final part of the question
Note: candidates may not follow the sequence described in this mark scheme, e.g. opportunity cost may be explained in the context of increasing opportunity cost, i.e. not separately. However, provided this is explained using a valid diagram, i.e. a concave PPC, then both marks must be awarded</t>
  </si>
  <si>
    <t xml:space="preserve">9708_w22_22_Q3a (57%)</t>
  </si>
  <si>
    <t xml:space="preserve">This was the least popular essay question probably due to the content of part (b). Most candidates were able to score at least half marks by drawing an accurate PPC diagram and demonstrating the concept of opportunity cost. However, the fact that this is demonstrated by a movement along the curve was rarely made clear and many candidates struggled to demonstrate the idea and cause of increasing opportunity cost and the significance of the concave shape of the curve.</t>
  </si>
  <si>
    <t xml:space="preserve">9708_w21_22_Q2b</t>
  </si>
  <si>
    <t xml:space="preserve">absolute claim (always/only/alone)</t>
  </si>
  <si>
    <t xml:space="preserve">;6.1;</t>
  </si>
  <si>
    <t xml:space="preserve">6.1.1, 6.1.2</t>
  </si>
  <si>
    <t xml:space="preserve">comparative advantage, free trade, limitations of the theory</t>
  </si>
  <si>
    <t xml:space="preserve">Discuss whether the principle of comparative advantage concludes that a movement to free trade will always result in an overall benefit for an economy.</t>
  </si>
  <si>
    <t xml:space="preserve">For analysis that explains how the principle of comparative advantage justifies free trade in terms of an increase in overall output/consumption possibilities that will benefit an economy/ies (up to 4 marks)
For analysis that suggests why the shortcomings of the principle of comparative advantage might make it less useful and therefore free trade might not be beneficial for an economy/ies (up to 4 marks)
8 marks maximum
For evaluative comment that assesses the relative strengths of each approach (up to 3 marks)
And leads to a reasoned conclusion whether the principle of comparative advantage does suggest that a movement to free trade will always result in an overall benefit for an economy (1 mark)
4 marks maximum
Guidance: The analysis here needs to show how free trade can lead to overall benefit for an economy but also that this might not be the case Several approaches are acceptable: some might argue that transport costs might negate the benefits of trade or that the exchange rate is not favourable. Others might argue that a movement to free trade might lead to structural adjustments that bring costs to the economy. Some might argue that as specialisation takes place resources are re-allocated and opportunity costs might rise Candidates may suggest reasons for protectionism as a counter argument – this is also acceptable
Note: there are no KU marks awarded in part (b) for merely explaining/defining terms or phrases used within the question</t>
  </si>
  <si>
    <t xml:space="preserve">Answers to this question were generally not strong. Although most candidates had a vague grasp of the principle of comparative advantage and some spent a great deal of time drawing diagrams or preparing tables to show knowledge of the concept, very few used this knowledge to analyse whether a movement to free trade would benefit an economy. Some candidates omitted the principle from their discussion and answered a different question about the advantages and disadvantages of free trade. Marks were often very low and it re-emphasises the need to read the question carefully as in this case the focus was on using the principle of comparative advantage to analyse the benefits of free trade. Also, it provides a reminder that analysis and not simply knowledge gains the available marks in part b of essay questions.</t>
  </si>
  <si>
    <t xml:space="preserve">9708_w21_22_Q3a</t>
  </si>
  <si>
    <t xml:space="preserve">;2.5;3.2;2.2;</t>
  </si>
  <si>
    <t xml:space="preserve">2.5.1, 2.5.3, 3.2.1</t>
  </si>
  <si>
    <t xml:space="preserve">consumer surplus, indirect tax, PED</t>
  </si>
  <si>
    <t xml:space="preserve">Explain what is meant by consumer surplus and use diagrams to assess the impact on consumer surplus when an indirect tax is imposed on a good with price-elastic demand compared with the impact when the demand is price-inelastic.</t>
  </si>
  <si>
    <t xml:space="preserve">For knowledge and understanding of consumer surplus, the difference (1) between the price a consumer is willing to pay for a product and its market price/price actually paid (1) (up to 2 marks)
And application using a diagram to show the impact of an indirect tax on the consumer surplus when the demand for a good is price-elastic. An accurately labelled diagram that clearly shows a flatter/elastic demand curve and the shift to the left of the supply curve (1), the impact on the price and quantity (1), and the fall in consumer surplus (1) (up to 3 marks)
And application using a diagram to show the impact of an indirect tax on the consumer surplus when the demand for a good is price-inelastic. An accurately labelled diagram that clearly shows a steeper/inelastic demand curve and a shift to the left of the supply curve, and the impact on price and quantity (1). The impact on consumer surplus should be clearly shown and compared with that of a price-elastic good (1) and possible reasons for the difference, e.g. degree of substitutability, addictive nature of the good, etc. (1) (up to 3 marks)
Guidance: The comparison could be reversed, i.e. the candidate may first consider the price- inelastic good with the price-elastic good. This should be equally rewarded</t>
  </si>
  <si>
    <t xml:space="preserve">A popular question that was well answered by most candidates who attempted it. Most candidates were able to accurately define consumer surplus although a significant number were unable to precisely define it as the difference between the price the consumer is prepared to pay and the price they do pay. Diagrams were generally accurate although in some cases more care needs to be taken to ensure they are clear and legible and of a reasonable size. The main issues were a tendency to reproduce pre-prepared answers to questions which are often set in this area, namely the impacts on both producer and consumer surplus and the different tax burdens. Although tax burden clearly has an impact on the size of the consumer surplus, it was not the question and nor was the impact on producer surplus. Candidates do need to answer the question that is set rather than one they may have prepared for. In a few cases, answers were completely undermined by drawing diagrams that showed a shift in the demand curve instead of or alongside a shift in the supply curve. Also, occasionally it was not possible to see any discernible difference between the slope of an elastic and an inelastic demand curve. Alongside the fact that the diagrams needed to show identical supply curves and supply curve shifts, it was sometimes difficult to identify or explain the different changes in consumer surplus,</t>
  </si>
  <si>
    <t xml:space="preserve">9708_w21_22_Q3b</t>
  </si>
  <si>
    <t xml:space="preserve">;3.2;3.3;</t>
  </si>
  <si>
    <t xml:space="preserve">3.2.4, 3.2.2, 3.3.4</t>
  </si>
  <si>
    <t xml:space="preserve">maximum price, food subsidies, food shortages</t>
  </si>
  <si>
    <t xml:space="preserve">A government is considering whether to adopt a policy of maximum price legislation in the market for food or to provide food subsidies to alleviate hunger in a period of food shortages. Discuss whether maximum price legislation or food subsidies are more likely to alleviate hunger under these circumstances.</t>
  </si>
  <si>
    <t xml:space="preserve">For analysis that explains the advantages and disadvantages of maximum price legislation (up to 4 marks)
(3 marks maximum for an analysis that just considers either the advantages or the disadvantages)
For analysis that explains the advantages and disadvantages of food subsidies (up to 4 marks)
(3 marks maximum for an analysis that just considers either the advantages or the disadvantages)
8 marks maximum
For evaluative comment that compares the relative strengths and weaknesses of each approach in alleviating hunger under these circumstances (up to 3 marks)
And leads to a reasoned conclusion whether maximum price legislation or food subsidies are more likely to alleviate hunger under these circumstances (1 mark)
4 marks maximum
Guidance: Maximum price legislation is imposed to keep the price of food low so that those on low incomes can afford to buy food. The impact, however, is to reduce the supply of food and create excess demand. Informal markets and queuing are likely to follow, and rationing might be necessary Food subsidies will reduce the price of food and increase the supply of food, but the impact depends upon the elasticity of demand of food. The effects might only be felt in the long term. The low prices might encourage hoarding of food. There are also possible opportunity costs involved as well as overall pressure on the government budget Subsidies may be ineffective in times of famine/supply chain crises, etc.
Note: there are no KU marks awarded in part (b) for merely explaining/defining terms or phrases used within the question</t>
  </si>
  <si>
    <t xml:space="preserve">Most candidates were able to display accurate knowledge and understanding of maximum pricing and subsidies and there was little evidence of confusion with minimum pricing. However, the main issue was that whilst a great deal of effort went into explaining the mechanics of both policies alongside generally accurate diagrams, a significant number of candidates were less successful in applying this knowledge to the question i.e., how successful they may be in alleviating hunger in a period of food shortages. Therefore, good answers accurately used knowledge and understanding to analyse likely success and were able to make direct comparisons of strengths and weaknesses of the different policies within evaluation whereas weaker answers were descriptive, focused on knowledge and far less well applied to the question. Evaluation in the latter case was often summative and did not address the question. Candidates must recognise that knowledge and understanding is not analysis and that summaries do not represent evaluation unless focused on answering the question.</t>
  </si>
  <si>
    <t xml:space="preserve">9708_w21_22_Q4a</t>
  </si>
  <si>
    <t xml:space="preserve">4.6.1, 4.6.4, 4.3.12</t>
  </si>
  <si>
    <t xml:space="preserve">inflation, demand-pull, cost-push, AD/AS</t>
  </si>
  <si>
    <t xml:space="preserve">Explain what is meant by inflation and, using diagrams, show how it can arise both as a result of a shift in the aggregate demand curve and a shift in the aggregate supply curve.</t>
  </si>
  <si>
    <t xml:space="preserve">For knowledge and understanding of inflation defined as a continuous/ sustained rise (1) in the general/average level of prices – a simple reference to price level is acceptable if it is clear from the rest of the answer that this refers to all prices and not just the price level of one product (1) (up to 2 marks)
And application that uses a diagram to show that inflation can be caused by a shift to the right of the aggregate demand curve. For an explanation why AD might increase (1), an accurately labelled diagram that shows the rightwards shift in AD and resulting increase in the general price level (1), and clearly explains that inflation occurs due to this excess in aggregate demand (1) (up to 3 marks)
And application that uses a diagram to show that inflation can be caused by a shift to the left of the aggregate supply curve. For an explanation why AS may fall (1), an accurately labelled diagram that shows the leftwards shift in AS and resulting increase in the general price level (1), and clearly explains that inflation occurs due to this decrease in aggregate supply (1) (up to 3 marks)
Guidance: Do not reward ‘micro’ diagrams showing S/D or P/Q Axes should show general/average price level and output/GDP, etc. However, if it is clear from the written response that the candidate understands that it is an impact on general or average prices, then benefit of doubt can be given if the Y axis simply refers to P or prices and everything else on the diagram is accurate Reasons why AD may increase include a rise in C, I, G, X or a fall in M Reasons why AS may fall include a rise in costs, tax, etc.</t>
  </si>
  <si>
    <t xml:space="preserve">Question 4 was the most popular essay question and was generally answered well. The majority of candidates who attempted this question were able to accurately define inflation and produce diagrams showing the correct macro approach and were able to score between six and eight marks overall. The most common omissions were a lack of explanation that demand pull inflation results from an excess of aggregate demand over aggregate supply and that cost push inflation resulted from a fall in aggregate supply. Incorrectly labelled diagrams and explanations both showing a micro based approach were comparatively rare.</t>
  </si>
  <si>
    <t xml:space="preserve">9708_w21_22_Q4b</t>
  </si>
  <si>
    <t xml:space="preserve">consequences of inflation, domestic effects, external effects</t>
  </si>
  <si>
    <t xml:space="preserve">Discuss whether the domestic effects of inflation are more serious than the external effects for an economy.</t>
  </si>
  <si>
    <t xml:space="preserve">For analysis of the domestic effects of inflation (up to 4 marks)
For analysis of the external effects of inflation (up to 4 marks)
8 marks maximum
For evaluative comment that assesses the relative seriousness of the internal and external effects (up to 3 marks)
And leads to a reasoned conclusion as to which effect is likely to be the most serious for an economy (1 mark)
4 marks maximum
Guidance: The domestic effects include a haphazard redistribution of income, a fall in savings and productive investment, menu and shoe leather costs The external effects include a rise in the price of exports and a fall in the relative price of imports with implications for the current account of the balance of payments, the exchange rate and capital flows If any part of the answer confuses domestic effects with external effects, then this part should not be rewarded. However, parts that are accurate should be rewarded
Note: there are no KU marks awarded in part (b) for merely explaining/defining terms or phrases used within the question</t>
  </si>
  <si>
    <t xml:space="preserve">9708_w23_22_Q5b (85%), 9708_w24_23_Q4b (65%), 9708_w25_24_Q1d (60%)</t>
  </si>
  <si>
    <t xml:space="preserve">Again, there were some very good answers, and most candidates were able to clearly and accurately distinguish between domestic and external effects. There were also some good attempts to evaluate their relative seriousness often in different scenarios, most commonly the degree of openness of the economies. Weaker answers either failed to distinguish effectively between domestic and external effects and/or simply asserted effects without explanation. For example, fiscal drag may well be an effect but without explanation it is simply knowledge and gains no credit. Some candidates also attempted to evaluate the general effects of inflation and/or the policies used to deal with inflation which of course was not the question and therefore could not be credited.</t>
  </si>
  <si>
    <t xml:space="preserve">9708_w21_23_Q1a</t>
  </si>
  <si>
    <t xml:space="preserve">;4.3;4.4;</t>
  </si>
  <si>
    <t xml:space="preserve">4.3.2, 4.4.2</t>
  </si>
  <si>
    <t xml:space="preserve">components of AD, real output growth, data trend</t>
  </si>
  <si>
    <t xml:space="preserve">China – growth, consumption and the US trade war</t>
  </si>
  <si>
    <t xml:space="preserve">Use the data in Fig. 1.1 to describe how the contribution to real output growth of the different components of aggregate demand in China has changed from 2010 to 2017.</t>
  </si>
  <si>
    <t xml:space="preserve">Award 1 mark for any two of the following:
• Lower contribution of investment expenditure over the period
• Relatively stable contribution in consumption expenditure
• In 2010, net exports were negative but by 2017 they were positive / however, over the period they have fluctuated between positive and negative (2 marks)
Guidance: It is not enough to simply quote figures – some measure of change in contribution is needed, i.e. increase, decrease, no discernible change, etc.</t>
  </si>
  <si>
    <t xml:space="preserve">Chart needed: Fig. 1.1 is a bar chart with no printed values, so the source extract here cannot show it. Use the original paper.</t>
  </si>
  <si>
    <t xml:space="preserve">Candidates do need to take note of the mark allocations when answering questions. As a two-mark question, there is no need for a great deal of writing and often two simple statements or a simple statement with some development is all that is required depending on the command word. This question involved simple data handling and simply asked for a description of changes in contribution of the different components of AD between two years. Consequently, there was no need to describe the changes year by year nor was there a need to describe the changes in real output growth. Two accurate changes over the period gained 2 marks and could have been obtained in two simple sentences.</t>
  </si>
  <si>
    <t xml:space="preserve">9708_w21_23_Q1bi</t>
  </si>
  <si>
    <t xml:space="preserve">;2.2;4.4;</t>
  </si>
  <si>
    <t xml:space="preserve">YED, income and car sales</t>
  </si>
  <si>
    <t xml:space="preserve">What relationship might you expect between the rate of growth in real output and sales of new cars in an economy?</t>
  </si>
  <si>
    <t xml:space="preserve">There is likely to be a positive correlation / would be expected to be a similar pattern / trend between the rise in GDP growth and the change in private car sales (1 mark)</t>
  </si>
  <si>
    <t xml:space="preserve">As cars in general may be considered a normal good, as real output rises so would real income and therefore a positive correlation might be expected. Most candidates recognised this, but a lot of time was wasted in stating it through very lengthy explanations for only 1 mark. Some candidates attempted to reverse the statement i.e., a rise in output means more cars but this did not answer the question.</t>
  </si>
  <si>
    <t xml:space="preserve">9708_w21_23_Q1bii</t>
  </si>
  <si>
    <t xml:space="preserve">data interpretation, car sales, real output growth</t>
  </si>
  <si>
    <t xml:space="preserve">Consider whether the evidence in Fig. 1.1 and Table 1.1 supports this relationship.</t>
  </si>
  <si>
    <t xml:space="preserve">It is broadly consistent (1) Highest and lowest rates of growth correspond (2010 and 2017 respectively) (1) There is positive growth in all years for both real output and sales of new cars, but rates of growth do not always match (1) Growth rate is more consistent than growth in car sales throughout (1) (2 marks)
Guidance: 1 mark to be awarded for each accurate statement up to a maximum of 2 marks</t>
  </si>
  <si>
    <t xml:space="preserve">Chart needed: Fig. 1.1 is a bar chart with no printed values, so the source extract here cannot show it (Table 1.1 is included). Use the original paper.</t>
  </si>
  <si>
    <t xml:space="preserve">Again 2 marks only here. Answers were often far too lengthy as the data suggests the relationship is broadly consistent which gained a mark with a piece of supporting evidence for the second mark. Consequently, a lot of unnecessary time was spent writing the answers to the first three questions which may have been better spent on the higher mark questions.</t>
  </si>
  <si>
    <t xml:space="preserve">9708_w21_23_Q1c</t>
  </si>
  <si>
    <t xml:space="preserve">tools of protection, trade war, consumers and producers</t>
  </si>
  <si>
    <t xml:space="preserve">State one protectionist measure that may be adopted by the US in a trade war with China and explain what effect this would have on consumers and producers in the US.</t>
  </si>
  <si>
    <t xml:space="preserve">Various possibilities including:
• Tariff, quota, regulations (maximum of 1 mark for identifying one measure)
• Increases prices of imported goods for consumers (1) and raises costs of production for producers due to higher imported raw material costs (1) increases demand for domestic producers (1) (3 marks)
Guidance: Accept any other valid impacts on consumers and producers, but 1 mark max. for each and both must be considered for full marks</t>
  </si>
  <si>
    <t xml:space="preserve">This was probably the most accessible data response question and most candidates who attempted it were able to score full marks. Most were able to identify a relevant protectionist measure and apply it to show relevant impacts on both consumers and producers. There were very few weak answers that were unaware of what was meant by protectionist measures although a very small minority described measures that could be taken by China and not the USA which was irrelevant.</t>
  </si>
  <si>
    <t xml:space="preserve">9708_w21_23_Q1d</t>
  </si>
  <si>
    <t xml:space="preserve">;5.2;2.2;</t>
  </si>
  <si>
    <t xml:space="preserve">5.2.4, 2.2.3</t>
  </si>
  <si>
    <t xml:space="preserve">direct tax cut, YED, normal and inferior goods</t>
  </si>
  <si>
    <t xml:space="preserve">Discuss whether cuts in direct taxes would increase the demand for all types of consumer goods in China.</t>
  </si>
  <si>
    <t xml:space="preserve">Award 1 mark for recognising that a cut in direct taxes may increase demand for consumer goods due to a rise in disposable income (1)
Up to 2 marks for explanation of why a cut in direct taxes would increase demand for normal/luxury with a positive YED value consumer goods
Up to 2 marks for an explanation of why a cut in direct taxes will not lead to an increase in demand for inferior/negative value consumer goods
Up to a maximum mark of 5 for analysis
Reserve 1 mark for a reasoned conclusion
Guidance: Alternative ways of expressing disposable income are acceptable and should be rewarded, e.g. more spending power, more money in the pockets of consumers, etc.</t>
  </si>
  <si>
    <t xml:space="preserve">The quality of response was generally good. However, there was a significant minority who confused direct taxes with indirect taxes and therefore discussed the impact of PED rather than YED or simply assumed that demand for all goods would increase because of a fall in either direct or indirect taxes. Such answers gained 1 mark or 0 marks depending on whether they had accurately explained the rise in disposable income (1) by showing accurate knowledge of a fall in direct taxes or by a reference to a fall in prices (0) i.e., by confusing direct taxes with indirect taxes. For those who recognised the impact of YED and a reference to both normal and inferior goods plus a brief explanation of both, provided there was a brief conclusion then full marks were obtained. Those who scored less than full marks were often let down by references to normal and inferior goods with no explanations.</t>
  </si>
  <si>
    <t xml:space="preserve">9708_w21_23_Q1e</t>
  </si>
  <si>
    <t xml:space="preserve">4.4</t>
  </si>
  <si>
    <t xml:space="preserve">Economic growth</t>
  </si>
  <si>
    <t xml:space="preserve">;4.4;4.3;</t>
  </si>
  <si>
    <t xml:space="preserve">4.4.4, 4.3.5</t>
  </si>
  <si>
    <t xml:space="preserve">consumption-led growth, investment, exports</t>
  </si>
  <si>
    <t xml:space="preserve">Discuss whether increasing domestic consumption is the best way for China to maintain the growth in real output at the current rate ‘over the next few years’.</t>
  </si>
  <si>
    <t xml:space="preserve">Analysis of the advantages and disadvantages of increasing domestic consumption to maintain the growth in real output (up to 3 marks)
Max. 2 if only advantages or disadvantages are considered Analysis of the advantages and disadvantages of an alternative way/ ways, i.e. increased I or X (up to 3 marks). Max. 2 if only advantages or disadvantages are considered
Up to a maximum mark of 5 for analysis
Reserve 1 mark for a reasoned conclusion
Guidance: Increasing domestic consumption will increase AD and output. This can be done through reducing direct or indirect taxes. The increased spending benefits the Chinese economy through increased employment and can be more certain than having to rely on external factors such as the global economy or US trade policy to generate growth. Care must be taken to not increase the rate of inflation as AD increases Alternative policies could be increasing investment or export-led growth</t>
  </si>
  <si>
    <t xml:space="preserve">Answers to this question were often quite weak. Many answers were descriptive rather than analytical and focused on how consumption may be increased rather than the benefits of doing so. Also, because the level of consumption had remained reasonably constant between 2010 and 2017, it was often assumed it could not be changed. On the other hand, net exports were regularly offered as an alternative as their contribution had increased over the same period but the impact of a trade war with the USA was ignored. Better answers compared the benefits of increasing consumption notably, the impact on employment and relative insulation from external factors against the possibility of inflationary pressure. This then allowed candidates to compare an alternative approach such as encouraging investment. Good evaluation was rare as analysis was often very limited. Section B Essays</t>
  </si>
  <si>
    <t xml:space="preserve">9708_w21_23_Q2a</t>
  </si>
  <si>
    <t xml:space="preserve">;1.1;1.4;</t>
  </si>
  <si>
    <t xml:space="preserve">1.1.1, 1.1.4, 1.4.1</t>
  </si>
  <si>
    <t xml:space="preserve">economic problem, planned economy, market economy</t>
  </si>
  <si>
    <t xml:space="preserve">Explain how the fundamental economic problem is addressed in a planned economy and in a market economy.</t>
  </si>
  <si>
    <t xml:space="preserve">For knowledge and understanding of fundamental economic problem, scarce resources (1) but unlimited wants (1) (up to 2 marks)
And application that explains how this problem is addressed in a planned economy. Central planning, government allocation of resources, welfare, etc. may be discussed (up to 3 marks)
And further application how this problem is addressed in a market economy. The role of the price mechanism, e.g. rationing, signalling, interaction of demand and supply, etc., may be discussed (up to 3 marks)
Guidance: The fundamental economic problem is tackled by means of market forces in a market economy. In a planned economy it is in the hands of government to ensure that resource allocation is equitable and possible</t>
  </si>
  <si>
    <t xml:space="preserve">Most candidates were able to clearly and accurately define the fundamental economic problem to gain the two knowledge and understanding marks. A further two marks were also often gained through an explanation of the role of government in a planned economy and the role of the price mechanism in a market economy. However, answers were often vague and generalised beyond that, so it was comparatively rare to gain many more marks. Also, the command word was ‘explain’ so an evaluation of the benefits and drawbacks of each system was irrelevant, and a conclusion was unnecessary. Many candidates wasted a great deal of time assessing the relative merits of each system in general rather than answering the specific question which again highlights the need to read the question carefully.</t>
  </si>
  <si>
    <t xml:space="preserve">9708_w21_23_Q2b</t>
  </si>
  <si>
    <t xml:space="preserve">;1.6;1.4;3.2;</t>
  </si>
  <si>
    <t xml:space="preserve">1.6.2, 1.6.3, 1.4.1, 3.2.3</t>
  </si>
  <si>
    <t xml:space="preserve">mixed economy, public goods, merit goods, role of government</t>
  </si>
  <si>
    <t xml:space="preserve">Discuss the view that in a mixed economy the only role of government should be to provide public goods and the supply of merit goods should be left to the private sector.</t>
  </si>
  <si>
    <t xml:space="preserve">Analysis of the reasons why public goods are provided by the government and not the private sector (up to 4 marks)
Analysis of the reasons why merit goods may be provided by the private sector and/or the government (up to 4 marks)
8 marks maximum
For an evaluation of whether the only role of government in a mixed economy is to provide public goods and that merit goods should be left to the private sector (up to 4 marks)
Reserve 1 mark for a valid conclusion
Guidance: Merit goods such as health provision, education and childcare are usually provided by both private and public sectors in a mixed economy. When provided by the private sector, a charge is usually but not always made at the point of use Government provision is funded through taxation; consumers will be charged a subsidised price or no charge at all. Much depends upon efficiency and how governments view the benefits of merit goods provision Without the involvement of government, some merit goods may be underprovided – may be used as an evaluative comment
Note: there are no KU marks awarded in part (b) for merely explaining/defining terms or phrases used within the question</t>
  </si>
  <si>
    <t xml:space="preserve">This question was not answered particularly well and many candidates appeared to miss the point of the question about whether government should only provide public goods or whether there was also a role for them to provide merit goods. Partly this arose through a lack of precise understanding of what a public good is compared to a merit good and this often led to a generalised discussion of the role of government in a mixed economy. This meant that a large part of the answer was irrelevant or inaccurate and that knowledge was rarely successfully applied to analysing the scope of the question. Whilst knowledge must be accurate and relevant, it again needs to be emphasised that only appropriate analysis is credited in part (b) of essay questions. Consequently, relevant evaluation was rare.</t>
  </si>
  <si>
    <t xml:space="preserve">9708_w21_23_Q3a</t>
  </si>
  <si>
    <t xml:space="preserve">2.2.6, 2.2.7</t>
  </si>
  <si>
    <t xml:space="preserve">PED, proportion of income, total revenue</t>
  </si>
  <si>
    <t xml:space="preserve">Using the concept of price elasticity of demand, explain why increasing the price of the product is (i) a bad idea for a firm producing a product that constitutes a large proportion of household income, and (ii) a good idea for a firm producing a product that constitutes a small proportion of household income.</t>
  </si>
  <si>
    <t xml:space="preserve">For knowledge and understanding, meaning of PED (1) plus an accurate formula (1) (up to 2 marks)
And application:
For explanation of the effects on revenue where PED is elastic (i). For a product that constitutes a large proportion of household income this means that the PED will most likely be elastic (1) which means (1) so revenue is likely to fall (1) (up to 3 marks)
For explanation of the effects on revenue where PED is inelastic (ii).
For a product that constitutes a small proportion of household income this means that the PED is likely to be inelastic (1) which means (1) so revenue is likely to rise (1) (up to 3 marks)
Guidance: Where PED is elastic, an increase in price will lead to less revenue A firm with an inelastic PED will experience an increase in its revenue if it increases the price of its product
Note: simple explanations of the impact of elasticity should not be credited, e.g. an increase in price leads to a large fall in demand/no change in demand. The answer must refer to % or proportional changes</t>
  </si>
  <si>
    <t xml:space="preserve">Candidates are clearly well prepared for this type of question and there were many good answers despite the wording being different to those seen in the past. Most candidates applied their knowledge of the concept of elasticity precisely in terms of proportional or percentage responses rather than vague terms such as ‘no change’ or ‘large/small changes in demand’ Total marks between 6 and 8 were common. Weaker answers were those where knowledge and understanding was lacking or imprecise.</t>
  </si>
  <si>
    <t xml:space="preserve">9708_w21_23_Q3b</t>
  </si>
  <si>
    <t xml:space="preserve">XED, YED, pricing decisions</t>
  </si>
  <si>
    <t xml:space="preserve">Discuss whether cross elasticity of demand or income elasticity of demand is likely to be more useful in assisting a firm in its pricing decisions.</t>
  </si>
  <si>
    <t xml:space="preserve">For an analysis of price changes on the market for substitutes and complements (up to 4 marks but a max. of 3 if only complements or substitutes are considered)
For an analysis of price changes on normal/luxury goods and inferior goods when incomes change (up to 4 marks but a max. of 3 if only normal/luxury or inferior goods are considered)
8 marks maximum
For an evaluation of which of the two measures is likely to be most useful to the firm in its pricing decisions (up to 4 marks)
Reserve 1 mark for a conclusion
Guidance: XED and YED should only be analysed in the context of their usefulness in assisting a firm in its pricing decisions
Note: there are no KU marks awarded in part (b) for merely explaining/defining terms or phrases used within the question</t>
  </si>
  <si>
    <t xml:space="preserve">9708_w22_21_Q2b (64%), 9708_w23_21_Q2b (73%), 9708_m24_22_Q3b (60%), 9708_s24_23_Q2b (58%), 9708_s26_24_Q2b (67%)</t>
  </si>
  <si>
    <t xml:space="preserve">As is often common with questions of this nature, candidates displayed a great deal of knowledge and understanding of the two types of elasticity but did not apply this to answering the question. Also, because of the reference to pricing decisions in the question, there was occasional confusion with PED. Better answers limited their explanations of YED and XED and focused on how useful they may be to firms in deciding on prices in different situations whereas weaker answers focused on explaining/defining the different measures. For all part (b) answers, only relevant analysis is credited along with evaluation that is clearly drawn on this analysis and used to answer the question i.e., in this instance, which measure is likely to be the most useful.</t>
  </si>
  <si>
    <t xml:space="preserve">9708_w21_23_Q4a</t>
  </si>
  <si>
    <t xml:space="preserve">4.6.2, 4.6.5</t>
  </si>
  <si>
    <t xml:space="preserve">measuring inflation, CPI, consequences of inflation</t>
  </si>
  <si>
    <t xml:space="preserve">Explain how inflation is measured and why a rising rate of inflation may be of concern to consumers and producers.</t>
  </si>
  <si>
    <t xml:space="preserve">For knowledge and understanding of what is meant by inflation and how it is measured. Inflation is a sustained increase in the (general) price level (1) and is normally measured by the CPI or equivalent index (1) (up to 2 marks)
And application that explains the problems for consumers (e.g. loss of purchasing power if on fixed income, erosion of real value of savings). 1 mark per explained problem (up to 3 marks)
And further application that explains the problems for producers (e.g. menu costs, difficulty in making long-term decisions such as investment). 1 mark per explained problem (up to 3 marks)
Guidance: Inflation occurs when there is a rise in the general price level in an economy. It is usually measured by the annual change in a Consumer Prices Index (CPI). A rising rate of inflation is of concern depending on its extent and how this compares with any stated target Reference to fixed income earners, menu costs, shoe leather costs, export competitiveness and business confidence are relevant At least two problems for each should be explained and one problem well explained can gain 2 marks.</t>
  </si>
  <si>
    <t xml:space="preserve">Part (a) questions allocate two marks for knowledge and understanding and a further six marks for applying this knowledge and understanding. There were two marks here for knowledge of what inflation is and how it is measured plus three marks for explaining why a rising rate of inflation may be of concern to consumers and a further three marks for the effect on producers. Many candidates concentrated on the mechanics of how inflation is measured and described the whole process with little regard to the impact required by the question and therefore scored low marks. Better responses quickly defined inflation and normally referred to CPI followed up by relevant application and in these instances, scored well, often achieving full marks. Once again, the advice is to spend less time displaying knowledge and understanding and more on applying or analysing this knowledge as required by the question.</t>
  </si>
  <si>
    <t xml:space="preserve">9708_w21_23_Q4b</t>
  </si>
  <si>
    <t xml:space="preserve">;5.3;4.6;5.2;</t>
  </si>
  <si>
    <t xml:space="preserve">5.3.4, 4.6.4</t>
  </si>
  <si>
    <t xml:space="preserve">interest rates, inflation control, alternative policies</t>
  </si>
  <si>
    <t xml:space="preserve">Discuss whether a policy of increasing interest rates is the best way of controlling a rising rate of inflation in an economy.</t>
  </si>
  <si>
    <t xml:space="preserve">For analysis of the advantages and disadvantages of a policy of increasing interest rates to control inflation. (Up to 4 marks but 3 marks max. if only advantages or disadvantages are considered)
For analysis of the advantages and disadvantages of at least one other policy used to control inflation. (Up to 4 marks but 3 marks max. if only advantages or disadvantages are considered)
8 marks maximum
For an evaluation as to which is likely to be the best policy to control inflation (up to 4 marks)
Reserve 1 mark for a valid conclusion
Guidance: There are various policies for controlling a rising rate of inflation, one of which is increasing interest rates. This policy is expected to reduce consumption and investment by firms whilst increasing savings. The effectiveness though depends upon the rate of inflation and the time it takes for increased interest rates to have an impact. Fiscal and supply-side policies are alternative methods of control
Note: there are no KU marks awarded in part (b) for merely explaining/defining terms or phrases used within the question</t>
  </si>
  <si>
    <t xml:space="preserve">9708_s22_23_Q3b (56%), 9708_s23_22_Q5b (63%)</t>
  </si>
  <si>
    <t xml:space="preserve">Most candidates had a reasonable understanding of the use of interest rates to control a rising rate of inflation and better candidates were able to consider the negative impacts on growth and therefore were easily able to compare the use of supply side policy. However, many candidates simply stated how interest rates might control inflation alongside other policies without really comparing their effectiveness. The overall effect was to provide an answer which simply listed methods of controlling inflation. Consequently, effective evaluation was extremely rare. Once again, this emphasises the need to address the question and use appropriate analysis rather than simply listing knowledge and understanding.</t>
  </si>
  <si>
    <t xml:space="preserve">9708_m22_22_Q1a</t>
  </si>
  <si>
    <t xml:space="preserve">Turkey – current account, inflation and interest rate cuts</t>
  </si>
  <si>
    <t xml:space="preserve">With reference to Fig 1.1 describe how Turkey’s current account balance has changed between August 2019 and April 2020.</t>
  </si>
  <si>
    <t xml:space="preserve">It has gone/changed/moved from a surplus (1 mark) to a deficit (1 mark)
Guidance: This is the only appropriate answer. Do not reward references to positive and / or negative figures / worsening etc. Equally, chronological descriptions of each year should not be credited even if references to surplus and/ or deficit are made throughout. The only exception is if it is clear that the candidate recognises the correct change over the time period e. g as a summative comment.</t>
  </si>
  <si>
    <t xml:space="preserve">9708_s21_21_Q1ai (59%)</t>
  </si>
  <si>
    <t xml:space="preserve">The focus of this question was the change between August 2019 and April 2020 and the simple answer was that the current account balance had changed from a surplus to a deficit. This was all that was required for 2 marks and detailed descriptions of all the changes in the balance within that time period were irrelevant. Candidates are also required to use the correct terminology, i.e., surplus and deficit and not use terms such as positive and negative (which are evident from the figures) or use value judgements such as ‘worsened’. Unfortunately, in many responses, far too much time was taken up with unnecessary description.</t>
  </si>
  <si>
    <t xml:space="preserve">9708_m22_22_Q1b</t>
  </si>
  <si>
    <t xml:space="preserve">6.1.3</t>
  </si>
  <si>
    <t xml:space="preserve">terms of trade, export and import prices, data interpretation</t>
  </si>
  <si>
    <t xml:space="preserve">How could the data in Fig 1.2 be used to explain the changes in the terms of trade between August 2019 and April 2020 as shown in Fig 1.3?</t>
  </si>
  <si>
    <t xml:space="preserve">The rate of inflation in Turkey suggests that there is a rise in Turkey’s export prices (1 mark), if import prices will rise by less this will lead to a rise in the terms of trade as shown (1 mark)
Guidance: The data clearly shows that prices have risen consistently over the time period and that terms of trade have risen from a value of 103.47 to 110.32.</t>
  </si>
  <si>
    <t xml:space="preserve">A significant number of candidates continue to confuse ‘Terms of Trade’ with ‘Balance of Trade’ even when the correct formula is reproduced. This misunderstanding was also compounded in many cases with a suggestion that a fall in the rate of inflation meant that prices would fall. Consequently, a number of candidates made the incorrect assertion that Terms of Trade improved because export prices had become more competitive. Those who did understand that inflation had led to a rise in the index of export prices gained one mark but often failed to receive the second mark by recognising that Terms of Trade would only have been improved if the index of import prices did not increase by the same percentage.</t>
  </si>
  <si>
    <t xml:space="preserve">9708_m22_22_Q1c</t>
  </si>
  <si>
    <t xml:space="preserve">;6.3;2.2;4.6;</t>
  </si>
  <si>
    <t xml:space="preserve">6.3.4, 2.2.7, 4.6.5</t>
  </si>
  <si>
    <t xml:space="preserve">inflation, international competitiveness, PED for exports and imports, current account</t>
  </si>
  <si>
    <t xml:space="preserve">‘Consumer price inflation was 8.6% per annum in October 2019 and is now 11.4%, reducing the international competitiveness of Turkey’s goods and services.’ Explain, using the concept of price elasticity of demand, how the increase in inflation has caused the change in Turkey’s current account of the balance of payments between October 2019 and April 2020 as shown in Fig 1.1.</t>
  </si>
  <si>
    <t xml:space="preserve">Clear understanding of PED either by means of a formula or explanation based on % changes or responsiveness (1 mark)
Recognition that the data (TOT) shows that export prices have increased more than import prices and an explanation of how the value of PED will affect export revenue (1 mark) and import expenditure respectively (1 mark)
For reference to the Marshall-Lerner condition needing to be fulfilled to turn the current account surplus to a deficit (1 mark)
Guidance: It is necessary for candidates to have a sound grasp of the core concepts especially the terms of trade, PED, and the Marshall-Lerner condition. The change from a surplus to a deficit will only occur if the Marshall-Lerner condition is fulfilled. The understanding of PED may be implicit based on the explanations of how the value of PED will affect export revenue and import expenditure and the first mark can therefore be awarded. If the answer only considers the impact on export revenue OR import expenditure, then a maximum of 2 marks may be awarded.</t>
  </si>
  <si>
    <t xml:space="preserve">This question required candidates to use the concept of price elasticity of demand to explain why consumer price inflation in Turkey had led to the current account moving into deficit. Most candidates were able to offer a definition and/or the formula for PED but a many of those were unable to clearly apply the concept to answer the question. Common errors involved a vague application of the concept, e.g., elastic PED means demand changes a lot when price changes or simply ignoring PED and instead stating that demand falls when price rises, Candidates should be reminded that PED measures degrees of responsiveness and this needs to be explained more clearly. Even those who correctly explained elasticity and understood that an elastic PED would mean that a price rise for exports would lead to a larger percentage fall in demand for exports tended to discuss this in terms of export volume rather than export revenue as used in the measurement of the current account. The impact on import expenditure was rarely referred to along with the need for the Marshall Lerner condition to be fulfilled to cause the change from surplus to deficit. Consequently, marks for this question were often very low.</t>
  </si>
  <si>
    <t xml:space="preserve">9708_m22_22_Q1di</t>
  </si>
  <si>
    <t xml:space="preserve">d(i)</t>
  </si>
  <si>
    <t xml:space="preserve">;5.3;4.6;</t>
  </si>
  <si>
    <t xml:space="preserve">4.6.3</t>
  </si>
  <si>
    <t xml:space="preserve">functions of money, standard of deferred payment, real interest rate</t>
  </si>
  <si>
    <t xml:space="preserve">Explain how a negative real rate of interest in Turkey will affect the function of money as: a standard of deferred payment.</t>
  </si>
  <si>
    <t xml:space="preserve">for explaining what is meant by a ‘standard of deferred payment’ (1 mark)
for explaining how this function of money will be affected by negative rates of interest i.e. who might be affected e.g., borrowers (1 mark) and how e.g., they will pay back less than they borrowed in real terms (1 mark)
(Up to 2 marks)
Guidance: If interest rates are negative, it means that borrowers will pay back less than they have borrowed in real terms.</t>
  </si>
  <si>
    <t xml:space="preserve">It was apparent that most candidates did not have clear knowledge of what a standard of deferred payment meant and consequently, marks for this question were generally low. Some candidates referred to the redistribution between lenders and borrowers because of inflation without any link to this function of money and some referred to the exchange rate in their answer which was clearly not relevant.</t>
  </si>
  <si>
    <t xml:space="preserve">9708_m22_22_Q1dii</t>
  </si>
  <si>
    <t xml:space="preserve">d(ii)</t>
  </si>
  <si>
    <t xml:space="preserve">functions of money, store of value, real interest rate</t>
  </si>
  <si>
    <t xml:space="preserve">Explain how a negative real rate of interest in Turkey will affect the function of money as: a store of value.</t>
  </si>
  <si>
    <t xml:space="preserve">for explaining what is meant by a ‘store of value’. (1 mark)
for explaining how this function of money will be affected by negative rates of interest i.e. who might be affected e.g., savers (1 mark) and how e.g., the value of their savings would be reduced in real terms (1 mark)
(Up to 2 marks)
Guidance: If interest rates are negative, it means that savings are losing value in real terms.</t>
  </si>
  <si>
    <t xml:space="preserve">This part was answered more convincingly although some candidates confused store of value with unit of account. Most knew that savers were affected although the impact on borrowers and consumers was also referred to which adversely affected the overall level of understanding. Marks awarded though were higher for this part of the question.</t>
  </si>
  <si>
    <t xml:space="preserve">9708_m22_22_Q1e</t>
  </si>
  <si>
    <t xml:space="preserve">compare two options; diagram required</t>
  </si>
  <si>
    <t xml:space="preserve">interest rate cut, aggregate demand, inflation, economic recovery</t>
  </si>
  <si>
    <t xml:space="preserve">Discuss, with the help of an aggregate demand and aggregate supply diagram, whether further cuts in Turkey’s interest rate are likely to ‘generate inflation’ or ‘speed up the economic recovery’.</t>
  </si>
  <si>
    <t xml:space="preserve">For an accurate aggregate demand/aggregate supply diagram showing equilibrium national income and price level (1 mark).
For an explanation using the diagram (1 mark) of the impact of a cut in interest rates upon aggregate demand (up to 2 marks).
For evaluative comment that considers whether the interest rate cut will impact upon prices/employment/economic growth. (Up to 2 marks) with 1 mark reserved for a valid conclusion
Guidance: Cuts in the rate of interest are expected to increase consumption and investment. In addition, the exchange rate will fall causing a rise in net exports. Aggregate demand will rise, but the impact upon prices and output and employment will be determined by the position of equilibrium national income. If there is no diagram or an inaccurate diagram, then the maximum mark is 4 i.e. 0,2,2.</t>
  </si>
  <si>
    <t xml:space="preserve">This question produced some good answers and low marks were often the result of assertions without explanation and/or inaccurate AS/AD diagrams. To gain marks, accurately labelled diagrams (i.e., price level, GDP, output etc but not P/Q on the axes, with AS and AD clearly shown along with relevant equilibrium positions) were needed. Explanations as to why AD would increase and how this would generate economic recovery were also needed. The counter argument was whether inflation would also be generated, and this is clearly a result of AS which needed to be explained. It was not sufficient to merely read off a new price level on a simple SRAS/AD diagram and assert that inflation would occur without any explanation. A considered conclusion was required for the final mark. Many candidates received 4+ marks out of 6. Section B Essay questions</t>
  </si>
  <si>
    <t xml:space="preserve">9708_m22_22_Q2a</t>
  </si>
  <si>
    <t xml:space="preserve">1.5.1, 1.5.3, 1.1.3</t>
  </si>
  <si>
    <t xml:space="preserve">PPC, capital vs consumer goods, short run vs long run</t>
  </si>
  <si>
    <t xml:space="preserve">Explain with the help of a production possibility curve diagram(s) how a decision to re-allocate resources in an economy to produce more capital goods and fewer consumer goods would affect consumers in both the short run and the long run.</t>
  </si>
  <si>
    <t xml:space="preserve">For knowledge and understanding of production possibility curves showing an accurate diagram labelled consumer goods and capital goods or equivalent (up to 2 marks).
For application showing a movement along the curve in the short run (1 mark) meaning fewer consumer goods and services available for consumption (1 mark) leading to less choice / higher prices / lower living standards in the short run (1 mark).
For application showing an outward shift of the curve in the long run (1 mark) perhaps leading to more consumer goods and services due to an expansion of capacity in the economy (1 mark) and an increase in living standards etc (1 mark).
Guidance: The PPC diagram should show consumer goods and capital goods on the axes. These terms do not have to be used, but it must be clear that the candidate understands the distinction between the two. The significance of the reallocation should be clearly understood. In the short run the consumer will have less goods and services available to consume. In the long run there may be a shift outward in the PPC as more capital goods are produced and the economy’s capacity expands. An accurate diagram must include accurate labels with the PPC touching both axes.</t>
  </si>
  <si>
    <t xml:space="preserve">This was a popular question, and most candidates were able to explain the short run impact on consumers using an accurate production possibility curve and the identification of a movement along the curve itself. The long run impact was less well explained and many simply asserted that more goods would be produced rather than using a production possibility curve to show the likely outward shift in the curve. As a result, marks of 4 or 5 maximum were quite common. Some candidates persist in labelling the diagram axes as P and Q and/or do not draw the curve touching both axes. Other common errors showed an outward swivel of the curve to show the short run reallocation of resources rather than a movement along the curve and there were many answers that included irrelevant analysis of opportunity cost, descriptions of attainable, unattainable and points within the curve etc. Clearly, these have been the focus of previous questions but not this one and demonstrates the dangers of pre-prepared answers.</t>
  </si>
  <si>
    <t xml:space="preserve">9708_m22_22_Q2b</t>
  </si>
  <si>
    <t xml:space="preserve">planned economy, market economy, transition, consumers</t>
  </si>
  <si>
    <t xml:space="preserve">Discuss whether the transition from a planned economy to a market economy will always benefit consumers.</t>
  </si>
  <si>
    <t xml:space="preserve">For analysis of the potentially positive consequences of the transition for consumers OR the advantages and disadvantages to consumers of a planned economy. For an analysis of just one (3 max). (Up to 4 marks)
For analysis of the potentially negative consequences of the transition for consumers OR the advantages and disadvantages to consumers of a market economy. For an analysis of just one (3 max). (Up to 4 marks)
8 marks maximum
For evaluation that considers the ‘will always’ element of the question. (Up to 3 marks)
to arrive at a reasoned conclusion. (1 mark)
Guidance: The transition to a market economy will represent a movement towards consumer sovereignty. If there is imperfect information however there will be an underproduction of merit goods and an overproduction of demerit goods. Candidates are required to consider the advantages and disadvantages of a market economy and then to exercise some judgement about whether the transition will always be better for consumers. Reverse arguments should not be rewarded twice.</t>
  </si>
  <si>
    <t xml:space="preserve">9708_w21_21_Q2b (75%)</t>
  </si>
  <si>
    <t xml:space="preserve">This part of the question was answered reasonably well, and most candidates were able to discuss some of the key advantages to consumers of a transition from a planned economy to a market economy and by implication, the disadvantages of a planned economy. Likewise, the disadvantages of the transition were also reasonably well discussed. The most common weaknesses that persist were a lack of explanation and too much assertion. This often meant that genuine evaluation was lacking as it consisted mainly of a summary of the various conclusions rather than an attempt to evaluate the question of whether the transition will always be better for consumers. Some candidates did examine the impact on the domestic and external economy in general and occasionally discussed the benefits of a mixed economy, neither of which addressed the question set and therefore scored low marks.</t>
  </si>
  <si>
    <t xml:space="preserve">9708_m22_22_Q3a</t>
  </si>
  <si>
    <t xml:space="preserve">2.3</t>
  </si>
  <si>
    <t xml:space="preserve">Price elasticity of supply</t>
  </si>
  <si>
    <t xml:space="preserve">;2.3;</t>
  </si>
  <si>
    <t xml:space="preserve">2.3.4</t>
  </si>
  <si>
    <t xml:space="preserve">PES, determinants of PES, examples</t>
  </si>
  <si>
    <t xml:space="preserve">Use examples to explain why the supply of some products is price elastic and the supply of other products is price inelastic.</t>
  </si>
  <si>
    <t xml:space="preserve">For knowledge and understanding of what is meant by price elasticity of supply. What it measures (1 mark) and the formula (1 mark).
For application that uses valid example(s) to explain price elastic supply (1 mark) identifies a factor that makes the supply of the product price elastic (1 mark) and why (1 mark) explanation of a factor that influences the elasticity. (Up to 3 marks)
For application that uses valid example(s) to explain price inelastic supply (1 mark) identifies a factor that makes the supply of the product price inelastic (1 mark) and why (1 mark) explanation of a factor that influences the elasticity. (Up to 3 marks)
Guidance: For full marks there must be an explanation of at least two factors that influence elasticity. If the candidate considers only one factor and reverses this factor, then 1 maximum for the second application. For example, if a candidate suggests that a product is elastic in supply because there are plentiful resources and then reverses this to explain that price might be inelastic because of a shortage of resources, this can only be credited once.</t>
  </si>
  <si>
    <t xml:space="preserve">9708_w24_21_Q2b (56%)</t>
  </si>
  <si>
    <t xml:space="preserve">Most candidates were able to correctly define price elasticity of supply and then went on to consider possible factors that could influence PES, such as the availability of resources, the number of producers, the extent of spare capacity, the ease of storing stocks, the time period, the extent of factor mobility and the length of the production process, giving appropriate examples of products with an elastic and an inelastic PES. A few candidates failed to understand that the question was concerned with the price elasticity of supply and wrote about the price elasticity of demand instead. Occasionally, as with all discussions of elasticity, a degree of imprecision persists despite an accurate definition, i.e., elastic is often discussed as a big change and inelastic as a small change or even no change. This suggests a learned definition but a lack of real understanding when applying the concept in a question such as this.</t>
  </si>
  <si>
    <t xml:space="preserve">9708_m22_22_Q3b</t>
  </si>
  <si>
    <t xml:space="preserve">;5.2;5.4;</t>
  </si>
  <si>
    <t xml:space="preserve">5.2.4, 5.2.5, 5.4.3</t>
  </si>
  <si>
    <t xml:space="preserve">fiscal policy, aggregate supply, supply-side effects of fiscal policy</t>
  </si>
  <si>
    <t xml:space="preserve">Discuss the ways in which fiscal policy can be used to increase the aggregate supply of products in an economy and consider whether this approach is likely to be effective.</t>
  </si>
  <si>
    <t xml:space="preserve">For analysis that considers how changes in taxation can influence aggregate supply with reference to the difficulties associated with this approach. For an analysis of how changes in taxation might work without the possible difficulties (3 max). (Up to 4 marks)
For analysis that considers how changes in government spending can influence aggregate supply with reference to the difficulties associated with this approach. For an analysis of how changes in government spending might work without the possible difficulties (3 max). (Up to 4 marks)
8 marks maximum
For evaluation that fully assesses the effectiveness of these approaches in increasing aggregate supply of products in an economy (up to 3 marks)
and arrives at a reasoned conclusion concerning whether fiscal policy is likely to be effective. (1 mark)
Guidance: Cuts in income and business taxes may provide incentives and increase the supply of labour and entrepreneurship to the economy. The difficulty is that they might not stimulate these resources. In addition, this could lead to a budget deficit and possible inflation. Increases in government spending could be directed to improving labour skills. Subsidies would also be included in this category encouraging for e.g., investment in R &amp; D. This could also lead to a budget deficit and may take some time before this comes to fruition. A comparison of fiscal policy with another policy may be relevant within the evaluation but is not relevant analysis.</t>
  </si>
  <si>
    <t xml:space="preserve">The wording of this question was slightly unusual in that it was asking candidates to consider the uses of fiscal policy in stimulating aggregate supply and not, as is most common, aggregate demand. Nor was the question asking candidates to compare the use of fiscal policy with the use of supply side policy or monetary policy although this could form part of the conclusion. Many candidates did recognise this and there were some good responses with reasonable evaluation. However, a significant number did focus purely on aggregate demand and tried to redress this, unconvincingly by suggesting that AS would simply increase in line with AD which once again suggests a pre prepared response to a different question. Such answers tended to gain credit only insofar as they made a direct link to AS (normally in the context of government spending on training and education) and inevitably gained no evaluation marks in assessing the overall effectiveness of fiscal policies in increasing AS.</t>
  </si>
  <si>
    <t xml:space="preserve">9708_m22_22_Q4a</t>
  </si>
  <si>
    <t xml:space="preserve">6.2.1, 6.2.2</t>
  </si>
  <si>
    <t xml:space="preserve">protectionism, tools of protection, steel industry</t>
  </si>
  <si>
    <t xml:space="preserve">An economy is facing the shutdown of its steel making industry as a result of cheap imports. Explain what is meant by ‘protectionism’ and describe two ways in which this steel industry could be protected.</t>
  </si>
  <si>
    <t xml:space="preserve">For knowledge and understanding of the meaning of protection in terms of giving an advantage to domestic industries/protecting domestic industries against foreign competition (1 mark) through interference with the free market / restricting free trade / increasing the price competitiveness of domestic industries against foreign competition. (1 mark)
For application that illustrates how industries are protected. Identification of a method (1 mark) and an explanation of how the chosen method works in practice (1 mark) and develops how this bestows advantage on the domestic industry. (1 mark) (Up to 3 marks)
2 methods × 3 marks: 6 maximum
Guidance: Candidates should not be credited for simply stating that protectionism is ‘protecting industries’. There must be a developed reference to foreign competition.
Accept any valid method of protection for e.g., tariffs, export subsidies, quotas etc.</t>
  </si>
  <si>
    <t xml:space="preserve">Clear understanding of the term protectionism was rare. Most candidates were able to refer to the fact that it offered an advantage for domestic industries / protected them against foreign competition but very few added that this was done by interference with the free market / trade. The most common methods applied were tariffs and quotas although embargoes and red tapism were also referred to. Weaknesses lay in incomplete application of how the methods actually worked and how they gave an advantage to domestic industry by interfering with the free market and/or restricting free trade. One method frequently quoted was the use of subsidies which often received little or no credit as the candidate failed to say they would in fact be export subsidies. Consequently, there was a wide range of marks although full marks were rare due to the frequent imprecision of the definition.</t>
  </si>
  <si>
    <t xml:space="preserve">9708_m22_22_Q4b</t>
  </si>
  <si>
    <t xml:space="preserve">6.2.3</t>
  </si>
  <si>
    <t xml:space="preserve">protectionism, strategic industry, retaliation, consumers</t>
  </si>
  <si>
    <t xml:space="preserve">Discuss the advantages and disadvantages of protecting an industry such as steel and consider whether the protection will be of overall benefit to this economy.</t>
  </si>
  <si>
    <t xml:space="preserve">For analysis of the advantages of protecting the industry. (up to 4 marks)
For analysis of the disadvantages of protecting the industry. (up to 4 marks)
8 marks maximum
For evaluation that considers the relative effect of the advantages and disadvantages of protection (Up to 3 marks) to arrive at a reasoned conclusion on the overall benefit to the economy. (1 mark)
Guidance: Advantages include, the infant industry argument, anti-dumping and protecting employment. Disadvantages include the fact that resources may not be allocated in their most efficient use, there might be retaliation and consumers will have to pay higher prices. Overall benefit should be fully considered for evaluation marks.</t>
  </si>
  <si>
    <t xml:space="preserve">This part of the question was generally well answered, with candidates discussing the potential advantages of protection, such as in relation to the need to protect infant and declining industries, the need to protect employment and the need for protection against firms who were dumping products at a price below cost, and the potential disadvantages of protection, such as an inefficient allocation of resources, higher prices, and the possibility of retaliation. However, weaker candidates tended to offer lists without any explanation which did lead to some low marks. Unfortunately, relatively few candidates responded to the reference to ‘overall benefit’ at the end of the question and instead merely summarised the analysis. This meant that marks for evaluation were often very low.</t>
  </si>
  <si>
    <t xml:space="preserve">9708_s22_21_Q1a</t>
  </si>
  <si>
    <t xml:space="preserve">inflation trend, data trend</t>
  </si>
  <si>
    <t xml:space="preserve">Bangladesh – inflation</t>
  </si>
  <si>
    <t xml:space="preserve">Describe the trend in the annual inflation rate of Bangladesh between 2009 and 2019.</t>
  </si>
  <si>
    <t xml:space="preserve">Although the inflation rate is virtually the same in 2009 and 2019, the trend has been up and down during this period, i.e., the trend is fluctuating. (1 mark)
Within this overall trend, it rose between 2009 and 2011 and then fell between 2012 and 2019, although within those years it both rose and fell. (1 mark)
The inflation rate was not lower than 5.4% in any of the years between 2009 and 2019 but was significantly higher in four of the years: 11.4% in 2011, 8.1% in 2010, 7.5% in 2013 and 7.0% in 2014. (1 mark)
2 marks maximum
Guidance: No mark to be given to answers that just state the eleven figures without any recognition of the overall trend.</t>
  </si>
  <si>
    <t xml:space="preserve">9708_w24_21_Q1a (56%)</t>
  </si>
  <si>
    <t xml:space="preserve">Many candidates were able to correctly describe the overall trend in the annual inflation rate of Bangladesh between 2009 and 2019, stressing that although the inflation rate was approximately the same at the beginning and at the end of the period, it had generally fluctuated during this time, reaching its highest rate of 11.4 in 2011. Some candidates, however, gave a description of what happened in every year. It is important that candidates understand clearly what is meant by a ‘trend’.</t>
  </si>
  <si>
    <t xml:space="preserve">9708_s22_21_Q1b</t>
  </si>
  <si>
    <t xml:space="preserve">consumer price index, weights</t>
  </si>
  <si>
    <t xml:space="preserve">Explain why price changes in the food and the non-food sectors in Bangladesh are treated differently when calculating the CPI.</t>
  </si>
  <si>
    <t xml:space="preserve">A basic recognition that price changes in the food and the non-food sectors in Bangladesh may be different, possibly including some appropriate examples (1 mark)
A clear recognition of the importance of weights in the construction of a CPI/a specific reference to, and explanation of, weightings in the calculation of the CPI for a country. There needs to be a clear reference to weights/weightings by a candidate to award the second mark (1 mark)
Guidance: Bangladesh: There have been significant price rises in the food sector, including:
• vegetables, particularly onions
• fish
• chicken
There have also been significant price rises in the non-food sector, including:
• healthcare
• transport
• energy resources such as gas
Weighting:
• the situation where certain products are given larger weights to reflect the greater proportion of income spent on them takes into account the relative importance of the components of a CPI</t>
  </si>
  <si>
    <t xml:space="preserve">A number of candidates were able to explain why price changes in the food and non-food sectors in Bangladesh were treated differently when calculating the Consumer Price Index, stressing the different weights that were given to various sectors according to the proportion of income spent on them and therefore their relative importance in the pattern of expenditure.</t>
  </si>
  <si>
    <t xml:space="preserve">9708_s22_21_Q1c</t>
  </si>
  <si>
    <t xml:space="preserve">consequences of inflation, international competitiveness</t>
  </si>
  <si>
    <t xml:space="preserve">Explain one domestic consequence and one external consequence for Bangladesh of having ‘a relatively high rate of inflation’.</t>
  </si>
  <si>
    <t xml:space="preserve">For an identification of one possible domestic consequence. (1 mark)
For an explanation of one possible domestic consequence. (1 mark)
For an identification of one possible external consequence (1 mark)
For an explanation of one possible external consequence (1 mark)
Guidance: The domestic consequences for Bangladesh of a relatively high rate of inflation could include:
• redistribution of income as the real earnings of some workers in
Bangladesh rise and the real earnings of others in Bangladesh fall
• borrowers in Bangladesh will gain and lenders in Bangladesh will lose
• menu costs in Bangladesh, e.g., the cost of changing prices
• shoe leather costs in Bangladesh, e.g., the search for good returns
• greater uncertainty – could discourage investment in
Bangladesh
• purchasing power of money for people in Bangladesh weaker
The external consequences for Bangladesh of a relatively high rate of inflation could include:
• if the rate of inflation in Bangladesh is higher than in other countries (it states it is one of the highest in
Asia), this will make the country’s exports less competitive (the effect will depend on PED)
• this may worsen the current account position of Bangladesh.</t>
  </si>
  <si>
    <t xml:space="preserve">Many candidates were able to explain one domestic consequence and one external consequence for Bangladesh of having ‘a relatively high rate of inflation’. Domestic consequences included the redistribution of income, the impact on borrowers and lenders and the existence of menu and shoe leather costs. External consequences included the impact of the rate of inflation on the competitiveness of exports and the effect of this on the current account of the balance of payments. However, some candidates did not appear to understand the difference between ‘domestic’ and ‘external’ consequences.</t>
  </si>
  <si>
    <t xml:space="preserve">9708_s22_21_Q1d</t>
  </si>
  <si>
    <t xml:space="preserve">Analyse</t>
  </si>
  <si>
    <t xml:space="preserve">4.6.4, 4.3.12</t>
  </si>
  <si>
    <t xml:space="preserve">demand-pull inflation, cost-push inflation, wages, AD/AS</t>
  </si>
  <si>
    <t xml:space="preserve">Analyse, with the help of aggregate demand and aggregate supply diagrams, how increasing wages can cause both demand-pull and cost-push inflation in Bangladesh.</t>
  </si>
  <si>
    <t xml:space="preserve">For an analysis of demand-pull inflation in relation to wage increases. (1 mark)
For an AD/AS diagram to show demand-pull inflation. (Up to 2 marks)
1 mark for correct labelling of the diagram 1 mark for the shift to the right of AD, showing increase in price level
For an analysis of cost-push inflation in relation to wage increases. (1 mark)
For an AD/AS diagram to show cost-push inflation. (Up to 2 marks)
1 mark for correct labelling of the diagram 1 mark for the shift to the left of AS, showing increase in price level
Guidance: Demand-pull inflation:
• it is stated that there has been an annual increase in the Wage Rate
Index (WRI) of 6.6% in the last month of 2019
• increased consumer spending, e.g., through greater consumer confidence resulting from an increase in income
• the AD curve will shift to the right causing an increase in the general price level
Cost-push inflation:
• wage increases to employees that are not linked to higher productivity
• the AS curve will shift to the left causing an increase in the general price level
The diagrams need to be accurately labelled, with the vertical axis labelled ‘general price level’ or ‘price level’ and the horizontal axis labelled ‘real output’ or ‘real GDP’.</t>
  </si>
  <si>
    <t xml:space="preserve">9708_s24_22_Q1b (65%)</t>
  </si>
  <si>
    <t xml:space="preserve">The majority of candidates were able to analyse how increasing wages could cause both demand- pull and cost-push inflation in Bangladesh, distinguishing clearly between the two types of inflation. Although many candidates gained full marks for the diagrams, some provided demand and supply diagrams rather than AD and AS diagrams and some labelled the axes incorrectly, labelling the vertical axis ‘price’ instead of ‘price level’ and the horizontal axis ‘quantity’ rather than ‘real GDP’. Some candidates did not include any diagrams in their answers, despite the explicit instruction in the question to do so.</t>
  </si>
  <si>
    <t xml:space="preserve">9708_s22_21_Q1e</t>
  </si>
  <si>
    <t xml:space="preserve">absolute claim (always/only/alone); compare two options</t>
  </si>
  <si>
    <t xml:space="preserve">5.3.4, 5.2.7</t>
  </si>
  <si>
    <t xml:space="preserve">monetary policy, fiscal policy, inflation control</t>
  </si>
  <si>
    <t xml:space="preserve">‘However, there is always the possibility that tough monetary policies could do more harm than good to an economy, compared with the possible use of fiscal policy.’ Discuss whether monetary policy or fiscal policy is more likely to be effective in controlling inflation.</t>
  </si>
  <si>
    <t xml:space="preserve">For an explanation of the potential advantages and potential disadvantages of monetary policy in controlling inflation. (Up to 3 marks)
(A maximum of 2 marks if only advantages or disadvantages are explained)
For an explanation of the potential advantages and potential disadvantages of fiscal policy in controlling inflation. (Up to 3 marks)
(A maximum of 2 marks if only advantages or disadvantages are explained)
5 marks maximum
Reserve 1 mark for a conclusion
Guidance: Potential advantages of monetary policy:
• a rise in interest rates can be effective in reducing the level of aggregate demand, especially if demand is interest-elastic; can be effective reducing demand-pull inflation
• other monetary policies to control inflation can include a reduction of the money supply and a rise in the exchange rate
Potential disadvantages of monetary policy:
• an increase in interest rates may not be significant enough to have an effect, i.e., demand is relatively inelastic
• the impact of an increase in interest rates can take a relatively long time to take effect
• it will be less useful in controlling cost-push inflation
• a rise in the exchange rate will not be useful if the PED for imports and exports is inelastic
• a reduction of the money supply may sometimes be difficult to bring about
Potential advantages of fiscal policy:
• a reduction in public expenditure can help to reduce the level of aggregate demand in an economy
• an increase in the level of taxes can also have such an effect
Potential disadvantages of fiscal policy:
• it may not always be easy for a government to change its expenditure/revenue plans
• increased taxes can have a disincentive effect
• less useful controlling cost-push inflation</t>
  </si>
  <si>
    <t xml:space="preserve">A number of candidates made a good attempt to discuss whether monetary policy or fiscal policy was more likely to be effective in controlling inflation, although some candidates limited themselves to a general description of monetary policy and fiscal policy rather than focusing on which would be more likely to be effective in controlling inflation. However, a number of candidates did not offer a conclusion, even though it was a ‘discuss’ question.</t>
  </si>
  <si>
    <t xml:space="preserve">9708_s22_21_Q2a</t>
  </si>
  <si>
    <t xml:space="preserve">1.6.2, 1.6.3</t>
  </si>
  <si>
    <t xml:space="preserve">merit goods, private goods, public goods, rivalry, excludability</t>
  </si>
  <si>
    <t xml:space="preserve">When a planned economy introduces the price mechanism to allocate some resources, a mixed economy arises. Explain, using examples, why merit goods are classified as private goods rather than public goods.</t>
  </si>
  <si>
    <t xml:space="preserve">Knowledge and Understanding:
For knowledge and understanding of private goods. (1 mark)
For knowledge and understanding of public goods. (1 mark)
2 marks maximum
Application: The use of appropriate examples to aid the explanation of why merit goods are classified as private goods. (Up to 3 marks)
The use of appropriate examples to aid the explanation of why merit goods are not classified as public goods (Up to 3 marks)
6 marks maximum
Guidance: Private goods:
• economic goods that are consumed by an individual for their own benefit
• there is rivalry in consumption, i.e., when a product is consumed by one person, it cannot be consumed by another
• there is excludability in consumption, i.e., when a product is consumed by one person, all others are excluded from it.
Public goods:
• are non-rival
• are non-excludable
• are non-rejectable
Examples of merit goods:
• education
• healthcare
Examples of public goods:
• street lighting
• defence
• police</t>
  </si>
  <si>
    <t xml:space="preserve">In this part of the question, candidates were required to explain, using examples, why merit goods were classified as private goods rather than public goods. There were some useful explanations of the distinction, with a clear contrast between the rivalry and excludability of private goods and the non-rivalry and non-excludability of public goods. Appropriate examples were used to good effect, including education and healthcare as examples of merit goods and street lighting and defence as examples of public goods. A number of candidates wrote extensively about demerit goods, despite the fact that the question made no reference to demerit goods.</t>
  </si>
  <si>
    <t xml:space="preserve">9708_s22_21_Q2b</t>
  </si>
  <si>
    <t xml:space="preserve">mixed economy, planned economy</t>
  </si>
  <si>
    <t xml:space="preserve">Discuss the advantages of a mixed economy and whether it is always preferable to a planned economy.</t>
  </si>
  <si>
    <t xml:space="preserve">Analysis: Analysis of the advantages and disadvantages of a mixed economy. (Up to 4 marks)
Analysis of the advantages and disadvantages of a planned economy. (Up to 4 marks)
8 marks maximum
Evaluation:
For exercising some judgement on whether a mixed economy is always preferable to a planned economy. (Up to 4 marks)
Reserve 1 mark for a conclusion
4 marks maximum
Guidance: Advantages of a mixed economy:
• the price mechanism is allowed to operate in many areas, facilitating its functions of rationing, signalling and the transmission of preferences
• a government is able to intervene in a market, e.g., through a maximum price or a minimum price
• some industries may be nationalised by the government
Disadvantages of a mixed economy:
• the workings of the price mechanism may be adversely affected by a government, e.g., taxes and subsidies
• possibility of market failure
Advantages of a planned economy:
• a government may decide to directly provide certain goods and services
Disadvantages of a planned economy:
• greater role for a government leads to more bureaucracy and less efficiency
• the lack of competition could lead to poorer quality and restricted choice
There are no KU marks awarded in (b) for merely defining/explaining terms used within the question.</t>
  </si>
  <si>
    <t xml:space="preserve">In the second part of the question, candidates were required to discuss the advantages of a mixed economy and whether such an economy was always preferable to a planned economy. There were some good answers, with candidates contrasting the relative advantages and disadvantages of each, although some candidates limited themselves to a list-like account of the different advantages and disadvantages of each without really focusing on the question. Some candidates contrasted planned economies with market, rather than mixed, economies. Most candidates provided little, if any, evaluation, although some candidates did make an attempt to exercise some judgement on whether a mixed economy was always preferable to a planned economy. Candidates need to remember that although eight marks are allocated to ‘analysis’ in the part (b) questions, four marks are allocated to ‘evaluation’.</t>
  </si>
  <si>
    <t xml:space="preserve">9708_s22_21_Q3a</t>
  </si>
  <si>
    <t xml:space="preserve">PES determinants, manufactured products, spare capacity, stocks</t>
  </si>
  <si>
    <t xml:space="preserve">Explain two factors that determine the price elasticity of supply of a manufactured product.</t>
  </si>
  <si>
    <t xml:space="preserve">Knowledge and Understanding:
For a correct definition/formula of price elasticity of supply. (Up to 2 marks)
Candidates need to refer to the percentage/proportionate change in both Q and P to be awarded the second mark.
2 marks maximum
Application: Application of one factor determining the price elasticity of supply of a manufactured product. (Up to 3 marks)
(1 mark for identification of the factor and up to 2 marks for explanation) Application of another factor determining the price elasticity of supply of a manufactured product. (Up to 3 marks)
(1 mark for identification of the factor and up to 2 marks for explanation)
6 marks maximum
Guidance: Definition of price elasticity of supply:
• percentage change in the quantity supplied of a product divided by the percentage change in the price of a product
Factors affecting the price elasticity of supply of a manufactured product:
• the number of producers: many such products will be produced in a market with many producers, but this is not always be the case, e.g., a monopoly
• the existence of spare capacity: if there is spare capacity, PES will be more elastic than would otherwise be the case
• the ease of storing stocks: this should be easier with manufactured products than perishable products, so PES will be relatively elastic
• the time period: if more firms join the industry over time, PES will be relatively elastic
• the factor mobility: the easier it is to move resources into the production of manufactured goods, the more elastic PES will be
• the time taken to produce a product: the shorter the time, the more elastic supply will be</t>
  </si>
  <si>
    <t xml:space="preserve">In this part of the question, candidates were required to explain two factors that could determine the price elasticity of supply of a manufactured product. Most candidates were able to provide a correct definition or formula of price elasticity of supply, although some made no reference to the fact that it involved percentage changes in the quantity supplied of a product and in the price of a product. A few candidates appeared muddled and wrote about price elasticity of demand rather than price elasticity of supply. A variety of different factors were explained, including the number of producers, the existence of spare capacity, the ease of storing stocks, the time period and the ease of factor mobility. Unfortunately, some candidates included explanations of both manufactured and agricultural products, despite the fact that the question only referred to manufactured products. This shows the importance of candidates reading the questions as carefully as possible.</t>
  </si>
  <si>
    <t xml:space="preserve">9708_s22_21_Q3b</t>
  </si>
  <si>
    <t xml:space="preserve">;3.2;2.2;2.3;</t>
  </si>
  <si>
    <t xml:space="preserve">3.2.1</t>
  </si>
  <si>
    <t xml:space="preserve">tax incidence, indirect tax, PED, PES</t>
  </si>
  <si>
    <t xml:space="preserve">Taxes are often placed on manufactured products, even those that are necessities with few substitutes. Discuss whether the incidence of a tax on a manufactured product always falls mainly on the producer.</t>
  </si>
  <si>
    <t xml:space="preserve">Analysis: Analysis of the incidence of a tax on a manufactured product on the producer (Up to 4 marks)
Analysis of the incidence of a tax on a manufactured product on the consumer (Up to 4 marks)
8 marks maximum
Evaluation:
For exercising some judgement on whether the incidence of a tax on a manufactured product always falls mainly on the producer. (Up to 4 marks)
Reserve 1 mark for a conclusion
4 marks maximum
Guidance: The incidence of a tax:
• the incidence of a tax refers to the extent to which the burden of a tax is borne by the producer and the consumer
• this will depend on the price elasticity of demand for the product
• depends on the elasticity of the supply curve.
The producer:
• if the demand for the product is relatively price elastic, then the producer will have to pay a greater part of the tax
The consumer:
• if the demand for the product is relatively price inelastic, then the consumer will have to pay a greater part of the tax
Necessities and substitutes:
• the degree to which a manufactured product is a necessity with few substitutes will influence the PED for the product.
• in this situation, the PED for the product is likely to be relatively price inelastic
There are no KU marks awarded in (b) for merely defining/explaining terms used within the question.</t>
  </si>
  <si>
    <t xml:space="preserve">In the second part of the question, candidates were required to discuss whether the incidence of a tax on a manufactured product would always fall mainly on the producer. The majority of candidates were able to clearly analyse the incidence of a tax, stressing the importance of elasticity in determining whether the incidence of a tax would always fall mainly on the producer or on the consumer. Although diagrams were not explicitly asked for in the question, many candidates used them to good effect in supporting their answer. As in Question 2(b), little evaluation was provided by the majority of candidates in terms of exercising judgement on whether the incidence of a tax on a manufactured product would always fall mainly on the producer.</t>
  </si>
  <si>
    <t xml:space="preserve">9708_s22_21_Q4a</t>
  </si>
  <si>
    <t xml:space="preserve">6.4.1</t>
  </si>
  <si>
    <t xml:space="preserve">fixed exchange rate, foreign currency reserves</t>
  </si>
  <si>
    <t xml:space="preserve">Explain why a fixed exchange rate could cause difficulties for a country that has one.</t>
  </si>
  <si>
    <t xml:space="preserve">Knowledge and Understanding:
For knowledge and understanding of a fixed exchange rate. (Up to 2 marks)
(1 mark for the fact that the rate is determined by a government/central bank. 1 mark for the fact that it is therefore not determined by demand and supply)
2 marks maximum
Application: Application of one difficulty of a fixed exchange rate to a country that has one (Up to 3 marks)
(1 mark for identification of the difficulty and up to 2 marks for explanation) Application of another difficulty of a fixed exchange rate to a country that has one (Up to 3 marks)
(1 mark for identification of the difficulty and up to 2 marks for explanation)
6 marks maximum
Guidance: A fixed exchange rate:
• a rate of a currency that is not determined by demand and supply
• the rate is determined by government, e.g., through the intervention of a country’s central bank in the foreign exchange market by buying (to raise the exchange rate) or selling (to lower the exchange rate) the currency or through increasing interest rates (to raise the exchange rate) or lowering interest rates (to lower the exchange rate)
Potential difficulties for a country:
• a government will need to have sufficient reserves to intervene in the foreign exchange market to maintain the rate of the currency
• a government may be reluctant to change interest rates if this conflicts with other economic policies, e.g., a government might want to increase the interest rate to raise the exchange rate, but this may not be appropriate at a time of high unemployment</t>
  </si>
  <si>
    <t xml:space="preserve">In this part of the question, candidates were required to explain why fixed exchange rates could cause difficulties for a country that has one. Although many candidates explained what was meant by a fixed rate, some made no attempt to point out that a fixed exchange rate was determined by a government and/or a central bank rather than by the demand and supply of currencies on the foreign exchange market. Most candidates were able to explain some of the difficulties that could be caused by a fixed exchange rate, such as the need to have sufficient reserves to intervene in the foreign exchange market to maintain the rate of the currency and the possibility that the maintenance of a fixed exchange rate could conflict with other economic policies of a government.</t>
  </si>
  <si>
    <t xml:space="preserve">9708_s22_21_Q4b</t>
  </si>
  <si>
    <t xml:space="preserve">export subsidies, tariffs, tools of protection</t>
  </si>
  <si>
    <t xml:space="preserve">Protectionism can take different forms in different countries. Discuss whether export subsidies are always a better method of protectionism than tariffs.</t>
  </si>
  <si>
    <t xml:space="preserve">Analysis: Analysis of the advantages and disadvantages of export subsidies as a method of protectionism. (Up to 4 marks)
Analysis of the advantages and disadvantages of tariffs as a method of protectionism. (Up to 4 marks)
8 marks maximum
Evaluation:
For exercising some judgement on whether export subsidies are always a better method of protectionism than tariffs. (Up to 4 marks)
Reserve 1 mark for a conclusion
4 marks maximum
Guidance: Advantages of export subsidies:
• subsidies to domestic producers will allow firms to lower cost and price and undercut foreign competition
• difficult for the WTO to deal with as they are not an overt method of protectionism
Disadvantages of export subsidies:
• they involve an opportunity cost in terms of other areas that a government could have spent the money on
• industries become too dependent on the subsidy rather than trying to become more competitive
Advantages of tariffs:
• a tariff is a tax or duty on import goods making them more expensive and less competitive
• if the demand for imports is elastic, demand should fall
• the government can use tariffs as a source of revenue
Disadvantages of tariffs:
• they will not be successful if demand for imports is price inelastic
• they may lead to retaliation
There are no KU marks awarded in (b) for merely defining/explaining terms used within the question.</t>
  </si>
  <si>
    <t xml:space="preserve">In the second part of the question, candidates were required to discuss whether export subsidies were always a better method of protectionism than tariffs. There was a useful consideration of the relative strengths and limitations of each of these two policies, although candidates did not always refer to the particular circumstances in order to arrive at a judgement as to which might be better. For example, tariffs would be less successful if the demand for imports was inelastic or if such a policy was likely to lead to retaliation by other countries. As in Questions 2(b) and 3(b), only a minority of candidates offered a sound evaluation in terms of exercising some judgement on whether export subsidies were always a better method of protectionism than tariffs. As has already been pointed out, candidates need to remember that although eight marks are allocated to ‘analysis’ in the part (b) questions, four marks are allocated to ‘evaluation’.</t>
  </si>
  <si>
    <t xml:space="preserve">9708_s22_22_Q1ai</t>
  </si>
  <si>
    <t xml:space="preserve">inflation rate, data comparison</t>
  </si>
  <si>
    <t xml:space="preserve">Russia – inflation, oil prices and the rouble</t>
  </si>
  <si>
    <t xml:space="preserve">Using Fig. 1.1: Compare the rate of inflation in Russia in March 2015 with that in March 2020.</t>
  </si>
  <si>
    <t xml:space="preserve">The rate is higher in March 2015 / is lower in March 2020 / it has fallen over the time period / disinflation. (1 mark)
Guidance: Figures are not required A reference to ‘the rate of inflation’ is not necessary as this is within the question.
Note: do not allow ‘improved’, ‘become better’, ‘it is lower’ etc.</t>
  </si>
  <si>
    <t xml:space="preserve">9708_m21_22_Q1a (61%), 9708_m23_22_Q1a (60%)</t>
  </si>
  <si>
    <t xml:space="preserve">This was a typical opening data handling question. Candidates do need to be aware that when two dates are referred to and the command word is ‘compare’ or ‘calculate’ for example, then it is those two dates only that are under consideration. This would avoid unnecessary and over descriptive answers covering the whole of the data. Furthermore, the question suggests that the candidate must manipulate the data in some way rather than merely repeating, for example, the figures themselves. Most candidates did gain the mark available but often only amid a great deal of unnecessary additional description. Candidates who gained 0 marks often did so because they simply repeated figures from the data and did not apply them to the question.</t>
  </si>
  <si>
    <t xml:space="preserve">9708_s22_22_Q1aii</t>
  </si>
  <si>
    <t xml:space="preserve">4.6.1</t>
  </si>
  <si>
    <t xml:space="preserve">price level, inflation vs price level</t>
  </si>
  <si>
    <t xml:space="preserve">Using Fig. 1.1: What has happened to the price level over this period?</t>
  </si>
  <si>
    <t xml:space="preserve">It / The price level has risen / prices have risen (1 mark)
Guidance: Specific references to ‘price level’ is not necessary as this is within the question.</t>
  </si>
  <si>
    <t xml:space="preserve">Another typical question that asks candidates to differentiate between the rate of inflation and changes in price levels. Around 50 per cent of candidates recognised that positive rates of inflation (even if rates are falling) meant that prices continue to increase albeit at a slower rate. The most common error was to state that a fall in inflation rates meant prices were also falling.</t>
  </si>
  <si>
    <t xml:space="preserve">9708_s22_22_Q1aiii</t>
  </si>
  <si>
    <t xml:space="preserve">a(iii)</t>
  </si>
  <si>
    <t xml:space="preserve">real wages, nominal vs real</t>
  </si>
  <si>
    <t xml:space="preserve">Using Fig. 1.1: Explain what could have caused real wages in Russia to decline between 2016 and 2018.</t>
  </si>
  <si>
    <t xml:space="preserve">For an understanding that a decline in real wages means that prices must be rising more than the rise in wages (1 mark)
For any explanation of a possible valid cause of this decline in real wages (1 mark)
Guidance: Accept answers that merely state that prices must be rising faster than wages Valid causes may refer to e.g., high rates of inflation, a surplus of labour leading to a fall in wages etc but must make it clear why real wages have declined.
Note: No marks should be awarded if there is no understanding at all of what is meant by a decline in real wages.</t>
  </si>
  <si>
    <t xml:space="preserve">The key to this question was a clear understanding of what is meant by the term ‘real wages’. Although many candidates recognised that inflation was a factor, most were unable to apply this to nominal / actual wage increases as compared to price increases and for this reason, many candidates scored 0 marks. Many simply answered the question in terms of disposable rather than real income and simply discussed spending power or the impact of income tax, unemployment, etc. In such a question, candidates need to demonstrate a clear understanding of the terminology to apply it.</t>
  </si>
  <si>
    <t xml:space="preserve">9708_s22_22_Q1b</t>
  </si>
  <si>
    <t xml:space="preserve">private goods, public goods, rivalry, excludability, free school meals</t>
  </si>
  <si>
    <t xml:space="preserve">Explain whether school lunches provided free-of-charge by the Russian government would be classified as private goods or public goods.</t>
  </si>
  <si>
    <t xml:space="preserve">For clear and accurate understanding of what is meant by the term excludable / non excludable (1 mark)
For clear and accurate understanding of what is meant by the term rivalry / non rivalry in consumption (1 mark)
For a correct application of both terms to free school meals (1 mark)
Leading to a conclusion that free school meals must be private and not public goods (1 mark)
Guidance: Candidates should demonstrate clear understanding of how public and private goods are distinguished by reference to the terms (non)excludability and (non) rivalry but for the first two marks this does not need to be correctly applied to free school meals. The final two marks may only be awarded if the terms are correctly applied to free school meals. The conclusion must be based on fully accurate application.</t>
  </si>
  <si>
    <t xml:space="preserve">A common misconception among candidates is that goods provided directly by the government are automatically public goods whether free of charge or not. An additional common issue with questions of this type is that the terms excludable and rivalry are either not clearly understood or they are explained together with no clear separation of their meaning, e.g., it was not uncommon to read that the consumption of a school meal by one student reduces the amount available for another student, therefore making it excludable which is obviously incorrect. A significant number of candidates made either one or both errors which led to some very low marks. School lunches are clearly private goods whether they are provided free of charge by the government because they could be excludable by charging a price if so desired and they will be rivalry in the sense that there cannot be an infinite number of lunches so the consumption by one student will reduce the amount available for other students. Both features of private goods are therefore satisfied. Whilst many countries have government provided goods and services, this does not automatically make them public goods in economics and this point needs to be emphasised.</t>
  </si>
  <si>
    <t xml:space="preserve">9708_s22_22_Q1c</t>
  </si>
  <si>
    <t xml:space="preserve">Assess</t>
  </si>
  <si>
    <t xml:space="preserve">;5.2;4.3;4.6;</t>
  </si>
  <si>
    <t xml:space="preserve">5.2.3, 5.2.6, 4.3.12</t>
  </si>
  <si>
    <t xml:space="preserve">budget surplus, aggregate demand, inflation</t>
  </si>
  <si>
    <t xml:space="preserve">Assess, using aggregate demand and aggregate supply analysis, the likely impact of the changes shown in Table 1.1 upon the rate of inflation in Russia.</t>
  </si>
  <si>
    <t xml:space="preserve">For analysis of how the move to a budget surplus will affect aggregate demand through its impact on at least one component of AD and the likely consequence of this on the rate of inflation. (Up to 3 marks)
For analysis of the likelihood of the rate of inflation being controlled that considers the possible impact on AS resulting from the change from a budget deficit to a surplus. (Up to 2 marks)
1 mark for a valid conclusion
Guidance: The data in table 1.1 shows that the government budget has moved from a deficit to a surplus and the most likely cause will be a cut in government spending and/ or an increase in taxes. Analysis should consider how this is likely to impact at least one component of AD and therefore reduce AD and control the rate of inflation. However, this move may also affect AS and analysis should consider e.g., how reduced subsidies due to a fall in government spending, possible reduced investment due to a rise in taxes etc. may cause AS to shift to the left. Other government policies such as a cut in interest rates may also have a counter effect and may be accepted.</t>
  </si>
  <si>
    <t xml:space="preserve">The first point to make about this question is the need to read the question carefully. A significant number of candidates incorrectly attempted to use the data from Figure 1.1 showing the Russian annual inflation rate rather than the data from Table 1.1 showing the government budget balance changes. Clearly this led to many candidates gaining 0 marks. Of those who did use the correct data, once again, many ignored the key word ‘changes’ and took a year-by-year approach rather than the overall change in the budget balance. The important point to note is that the balance moved from a deficit to a surplus and then to analyse the possible impact of this change on the rate of inflation. Most candidates who recognised this change were then able to explain the impact on AD and therefore inflation. Better candidates did this via an accurate diagram and considered both a possible rise in taxation and a fall in government spending. However, most of these candidates were unable to recognise that this may also shift AS to the left, e.g., due to reduced subsidies, investment, which may increase the rate of inflation depending on the size of the respective shifts in AS and AD. Consequently, marks of 5 or 6 were relatively rare. In addition, some candidates who correctly identified the change to a budget surplus incorrectly concluded that this meant the government was increasing its spending due to more revenue which may be a long-term impact but did not answer this question.</t>
  </si>
  <si>
    <t xml:space="preserve">9708_s22_22_Q1d</t>
  </si>
  <si>
    <t xml:space="preserve">;6.4;6.3;6.1;</t>
  </si>
  <si>
    <t xml:space="preserve">6.4.5, 6.3.4, 6.1.3</t>
  </si>
  <si>
    <t xml:space="preserve">oil prices, depreciation, export revenue, primary product dependence</t>
  </si>
  <si>
    <t xml:space="preserve">Discuss whether the ‘huge decrease in the price of oil’ and the fall in the value of the rouble might bring more opportunities than threats to the Russian economy.</t>
  </si>
  <si>
    <t xml:space="preserve">For analysis explaining why ‘the huge oil price slump and the fall in the value of the rouble’ will bring opportunities to the Russian economy (Up to 3 marks)
Maximum of 2 marks if only the oil price slump or the fall in the value of the rouble is considered.
For analysis explaining why ‘the huge oil price slump and the fall in the value of the rouble’ will bring threats to the Russian economy (Up to 3 marks)
Maximum of 2 marks if only the oil price slump or the fall in the value of the rouble is considered.
Maximum of 5 marks in total for analysis Leading to a well-reasoned conclusion whether or not there will be more opportunities than threats to the Russian economy (1 mark)
Guidance: The fall in the price of oil is likely to reduce the value of Russia’s exports and have a negative effect on the current account of the balance of payments, but this is only the case if the PeD is inelastic. A possible opportunity is that costs of production will fall for domestic firms that use oil and this may impact the Russian economy by making its exports more price competitive, The impact of the fall in the value of the rouble could be positive or negative depending upon the PED of Russia’s imports and exports. There is a threat however that will result from the possible imported inflation and this may impact the Russian economy by lowering living standards.</t>
  </si>
  <si>
    <t xml:space="preserve">Most candidates gained at least some credit and there was a full range of marks. The main weakness was a tendency to assert points without any underlying attempt at an explanation. For example, ‘the fall in the value of the rouble will lead to a current account surplus’ may possibly be accurate but without any explanation as to why, the statement has little merit. Also, the question asked for an assessment of the impact of these changes on the Russian economy so a simple statement that exports would increase also lacks much merit unless linked to, e.g., levels of employment. Although there was also a tendency to refer to the Marshall-Lerner condition without any explanation, there were some very good answers that clearly considered the significance of PED, e.g., oil as a product tends to be price inelastic when assessing the relative threats and opportunities. As ever, good analysis and evaluation requires some degree of explanation and those candidates who had the knowledge to do so, gained very good marks on this question. Section B – Essays</t>
  </si>
  <si>
    <t xml:space="preserve">9708_s22_22_Q2a</t>
  </si>
  <si>
    <t xml:space="preserve">;1.5;4.4;</t>
  </si>
  <si>
    <t xml:space="preserve">1.5.3, 1.5.4, 4.4.4</t>
  </si>
  <si>
    <t xml:space="preserve">PPC shift, unused resources, productive capacity, actual vs potential growth</t>
  </si>
  <si>
    <t xml:space="preserve">With the help of a production possibility curve diagram(s) compare growth in the productive capacity of an economy and growth that results from a reduction in the quantity of unused resources in an economy. Explain one reason that might cause each to occur.</t>
  </si>
  <si>
    <t xml:space="preserve">For knowledge and understanding of a PPC shown through an accurate diagram i.e., a concave or straight-line curve that meets both axes (1mark) with appropriate and correctly labelled axes (1 mark).
For application, identification of a reason why there may be a growth in the productive capacity of an economy (1 mark) clearly explained (1 mark) using a fully accurate diagram to correctly illustrate a growth in the productive capacity of an economy shown by a shift outward in the PPC (1 mark) (3 marks maximum)
For application, identification of a reason why there might be a reduction in the quantity of unused resources in an economy (1 mark) clearly explained (1 mark) using a fully accurate diagram to correctly illustrate a reduction in the quantity of unused resources in an economy shown by a movement from within the curve to a point nearer the curve or onto the curve. (1 mark) (3 marks maximum)
Guidance: Knowledge and understanding marks may only be given for an accurate diagram and not a written explanation. Axes must be labelled correctly for the second KU mark i.e., not P and Q and not X and Y although good X and good Y are acceptable. A growth in the productive capacity of an economy is represented by a shift outward in the PPC. It can be caused by an improvement of technology or an increase in productive resources. A reduction in the quantity of unused resources in an economy is represented by a movement from within the PPC towards the curve. It can be caused for example by increased aggregate demand or by an improvement in the aggregate supply that makes the labour market more efficient. This may be illustrated on one diagram or more.</t>
  </si>
  <si>
    <t xml:space="preserve">This was probably the most popular essay question and was generally well answered. However, many candidates seemingly reproduced class notes on the topic which meant that quite often, time was wasted detailing the concept of opportunity cost, scarcity, and the significance of points below, on and outside the curve. Although accurately reproduced, such application was irrelevant to this question and occasionally meant that the main points relating to the question were unclear or even omitted. Most candidates were able to display accurate knowledge through an accurate diagram and there were relatively few who incorrectly labelled the axes as P and Q or simply X and Y. Of the two scenarios, the growth in the productive capacity was explained best in most cases with valid causes given showing the PPC moving outwards. The scenario of growth resulting from a reduction in the quantity of unused resources was less well explained and common errors were to suggest this might come from hitherto undiscovered resources and/or to suggest that this would also cause the PPC to move outwards rather than from a point within the curve. This meant that the final three marks were sometimes missed.</t>
  </si>
  <si>
    <t xml:space="preserve">9708_s22_22_Q2b</t>
  </si>
  <si>
    <t xml:space="preserve">Discuss the disadvantages of a planned economy and consider whether the transition to an economy in which many resources are allocated by market forces is likely to be of overall benefit.</t>
  </si>
  <si>
    <t xml:space="preserve">For analysis of the disadvantages of a centrally planned economy (Up to 4 marks)
For analysis of the impact of a change to an economy in which many resources are allocated by market forces with due reference to both the advantages and the disadvantages (maximum mark of 3 if only advantages or disadvantages are analysed) (Up to 4 marks)
For evaluation that considers whether transition is likely to be of overall benefit (Up to 3 marks) to arrive at a reasoned conclusion (1 mark)
Guidance: Disadvantages of a planned economy may include a lack of consumer sovereignty. A lack of profit motive which may lead to less efficiency. It may therefore lead to surpluses and / or shortages. It may lack incentives e.g., to invest which may lead to a lack of innovation and a reduction in consumer choice. The transition to an economy in which many resources are allocated by market forces may counter the disadvantages of a planned economy through market forces but it may also lead to the overproduction of demerit goods and the underproduction of merit goods together with a lack of public goods. It may lead to greater inequality.
Evaluation may include a consideration of the time period. There are no KU marks awarded in part b for merely explaining / defining terms or phrases within the question.</t>
  </si>
  <si>
    <t xml:space="preserve">It is essential to clarify that in part (b) of essays, marks are not specifically awarded for knowledge of the terms used within the question. Hence in this question, no credit was given for the occasionally lengthy descriptions of what is meant by a planned economy, market economy, etc. Likewise, the question focused on the disadvantages of a planned economy and therefore long descriptions of the advantages were often totally irrelevant. Such knowledge is useful to underpin the analysis of the disadvantages of a planned economy and the benefits of a transition to a more market-based economy but should not form most of the content of the answer. Strong answers were able to explain why the planned economy may have disadvantages and explain the advantages and disadvantages of a transition. Weaker answers tended to be assertive and very generalised and therefore gained very little credit, e.g., planned economies tend to produce goods of a lower quality without any explanation why this may be the case. Analysis requires underpinning explanation to gain credit and effective evaluation must make direct use of this analysis to answer the question, i.e., whether the transition would be of overall benefit. Simple summaries cannot be credited as evaluation. In this question, there were many examples of strong analysis but very few examples of strong evaluation that clearly weighed up both sides to come to a justified conclusion.</t>
  </si>
  <si>
    <t xml:space="preserve">9708_s22_22_Q3a</t>
  </si>
  <si>
    <t xml:space="preserve">;2.2;2.4;</t>
  </si>
  <si>
    <t xml:space="preserve">2.2.3, 2.4.2</t>
  </si>
  <si>
    <t xml:space="preserve">YED, normal goods, inferior goods, fall in income, equilibrium</t>
  </si>
  <si>
    <t xml:space="preserve">With the help of diagrams, use the concept of income elasticity of demand to explain the impact of a fall in incomes on the equilibrium price and equilibrium quantity of a normal good and an inferior good.</t>
  </si>
  <si>
    <t xml:space="preserve">For knowledge and understanding of the meaning of income elasticity of demand (1 mark) together with an accurate formula (1 mark)
Note: the correct KU of the meaning of income elasticity may be rewarded with 1 mark if it is clear within the application even if it was initially incorrect within an opening statement / definition.
For application that explains the meaning of a normal good (1 mark)
and uses a diagram to illustrate that the demand curve will shift to the left (1 mark) leading to a fall in equilibrium price and quantity demanded which is clearly shown on the diagram (1 mark).
For application that explains the meaning of an inferior good (1 mark)
and uses a separate diagram to illustrate that the demand curve will shift to the right (1 mark) leading to a rise in equilibrium price and quantity demanded which is clearly shown on the diagram (1 mark).
Guidance: For a normal good, at a time when incomes are falling, demand will be expected to fall resulting in a shift to the left of the demand curve. For an inferior good, at a time when incomes are falling, demand will be expected to rise resulting in a shift to the right of the demand curve. This will result in a fall and rise respectively in the equilibrium price and quantity demanded which should be clearly shown on two separate diagrams as required by the question Do not reward application where one diagram is used to illustrate the effects on both types of goods. The maximum mark that this type of response could score is [2+3+1] Diagrams showing the relationship between income and q demanded for normal and inferior goods must not be rewarded (unless solely used as part of the explanation of the meaning of what normal and inferior goods are) as they clearly do not show the changes in equilibrium price and quantity. The only diagrams that may be accepted here are normal supply and demand diagrams that clearly show the appropriate shifts in demand and the resulting changes in equilibrium price and quantity demanded.</t>
  </si>
  <si>
    <t xml:space="preserve">9708_m24_22_Q3a (56%)</t>
  </si>
  <si>
    <t xml:space="preserve">This was a straightforward question that proved accessible to most candidates who attempted it leading to a high proportion of maximum marks. Where candidates did not achieve high marks, this was often a combination of two factors. First, an incomplete formula and/or a less than precise written definition. Candidates need to emphasise that it is the responsiveness of percentage changes in demand to percentage changes in income that is being measured and this needs to be reflected in the knowledge and understanding. Second, the question asked candidates to consider the impact of a fall in incomes on the equilibrium price and quantity of both normal and inferior goods. The explanation was intended to arise from the use of appropriate diagrams, i.e., more than one. Candidates who used only one diagram or used the income / quantity demand slope diagrams, were unable to demonstrate the impact effectively so therefore lost marks. Even among good answers though, much time was lost by also describing the impact of a rise in incomes, examples of inferior, normal, and even luxury goods and even discussions about whether the goods were income elastic or inelastic. Such descriptions were irrelevant and possibly wasted valuable time. Pleasingly though, few candidates mixed up price elasticity of demand with income elasticity of demand.</t>
  </si>
  <si>
    <t xml:space="preserve">9708_s22_22_Q3b</t>
  </si>
  <si>
    <t xml:space="preserve">2.2.6, 2.2.8</t>
  </si>
  <si>
    <t xml:space="preserve">PED determinants, business decisions, branding, substitutes</t>
  </si>
  <si>
    <t xml:space="preserve">Discuss the difficulties that businesses might have when they try to control the factors that determine the price elasticity of demand for a product and consider whether attempts to control these factors are likely to be successful.</t>
  </si>
  <si>
    <t xml:space="preserve">For analysis that considers the difficulties a business might have in attempting to control a factor that influences the price elasticity of demand. (Up to 4 marks per factor analysed) (8 marks maximum)
For evaluation that considers whether the difficulties in controlling the factors can be overcome (3 marks) and arriving at a reasoned conclusion (1 mark)
Guidance: Factors include whether the good is a necessity, whether it is habit forming, the availability, attractiveness of substitutes, the proportion of income taken in the purchase of the good, and the time period. Responses that simply explain the factors that determine PeD without any references to the difficulties that business might have in controlling these factors should not be rewarded. Candidates must consider at least two factors to score full marks for analysis or they can consider more than two factors and their difficulties in less depth. There are no KU marks awarded in part b for merely explaining / defining terms or phrases within the question.</t>
  </si>
  <si>
    <t xml:space="preserve">Questions about the usefulness of elasticity measures to businesses and/or governments are regularly asked. However, candidates must take careful note of the focus of the question before attempting an answer and avoid overly descriptive ‘all I know about elasticity’ responses. The focus of this question was a discussion of the difficulties a business may have in controlling the factors that determine PED. It did not require analysis of why businesses may, e.g., want to make a product more price elastic / inelastic which many candidates did, often involving a series of unnecessary diagrams leading to no credit being awarded. Also, whilst an accurate knowledge and understanding of the factors that determine PED was essential, it was not necessary to explain these in detail. Unfortunately, many candidates did just that and referred to difficulties in their control in passing only or not at all. Such an approach led to very low marks. Higher marks were rare and were reserved for candidates who focused on the question and analysed the difficulties in controlling individual factors without describing the factors themselves in detail and as such were able to come to justified conclusions.</t>
  </si>
  <si>
    <t xml:space="preserve">9708_s22_22_Q4a</t>
  </si>
  <si>
    <t xml:space="preserve">;6.3;4.3;</t>
  </si>
  <si>
    <t xml:space="preserve">6.3.1, 6.3.4</t>
  </si>
  <si>
    <t xml:space="preserve">current account surplus, employment, price level</t>
  </si>
  <si>
    <t xml:space="preserve">An economy moves from a deficit to a surplus on the current account of the balance of payments. Explain what is meant by a surplus on the current account of the balance of payments and consider the possible impact on the level of employment and prices when there is a change from a deficit to a surplus current account balance in an economy.</t>
  </si>
  <si>
    <t xml:space="preserve">For knowledge and understanding of what the current account of the balance of payments measures (1 mark) and what is meant by a surplus (1 mark)
For application that explains the impact of the emerging surplus upon employment. (Up to 3 marks)
For application that explains the impact of the emerging surplus upon domestic prices. (Up to 3 marks)
Guidance: The current account should be defined as trade in goods, services plus other income.
For the second mark, a surplus is where payments received by a country exceed payments made by a country / where income from exports exceeds expenditure on imports. The cause of the surplus will clearly be an increase in exports and / or a decrease in imports. However, there are several reasons why this might occur e.g., increased popularity of Russian exports, government policy to dampen domestic demand etc. Give 1 mark for identifying a valid cause / reason and then up to 2 marks for a developed explanation of the impact on employment and use the same criteria to award marks for the impact on domestic prices.</t>
  </si>
  <si>
    <t xml:space="preserve">Question 4 proved to be the least popular essay question possibly because of the perceived accessibility of 2(a) and 3(a). Most of those who attempted this question were able to accurately explain the current account beyond simply exports and imports. Furthermore, the balance was also measured in terms of value rather than volume in most cases. The key to the application of this question though was in terms of the causes of a surplus and the number of unused resources within the economy. Those who recognised this gained very good marks e.g., if the economy is at full employment already, an increase in the current account surplus would only increase prices and employment levels would remain the same. However, most adopted a simple approach with the occasional use of a SRAS / AD diagram to show employment and prices both rising. Some credit was given but marks were generally low.</t>
  </si>
  <si>
    <t xml:space="preserve">9708_s22_22_Q4b</t>
  </si>
  <si>
    <t xml:space="preserve">expenditure-reducing policy, expenditure-switching policy, current account deficit</t>
  </si>
  <si>
    <t xml:space="preserve">Discuss whether expenditure-reducing or expenditure-switching policies are more likely to be of greater overall benefit if adopted to remove a persistent deficit on the current account of the balance of payments.</t>
  </si>
  <si>
    <t xml:space="preserve">For analysis that considers the advantages and disadvantages of using expenditure-reducing policies to remove a persistent deficit on the current account of the balance of payments. (a maximum of 3 marks if only advantages or disadvantages are analysed) (Up to 4 marks)
For analysis that considers the advantages and disadvantages of using expenditure-switching policies to remove a persistent deficit on the current account of the balance of payments (a maximum of 3 marks if only advantages or disadvantages are analysed) (Up to 4 marks)
For evaluation that compares the advantages and disadvantages of the two approaches (3 marks) to arrive at a reasoned conclusion on which is to be of greater overall benefit in reducing a persistent deficit on the current account of the balance of payments (1 mark)
Guidance: Candidates need to have a clear understanding of expenditure reducing and expenditure switching policies together with an understanding of the advantages and disadvantages of each. Examples of expenditure reducing policies which are designed to reduce domestic aggregate demand to reduce imports and increase goods for export may include:
• raising taxes
• reducing government spending etc.
Examples of expenditure switching policies which are designed to encourage people to switch from buying imported goods to buying domestically produced goods may include:
• protectionist policies
• supply side policies
• exchange rate policies etc.
Analysis and evaluation should focus on how a persistent deficit on the current account may be removed using these policies but may also consider other impacts on the wider economy. There are no KU marks awarded in part b for merely explaining / defining terms or phrases within the question.</t>
  </si>
  <si>
    <t xml:space="preserve">9708_m23_22_Q5b (58%), 9708_s23_22_Q4b (55%), 9708_m24_22_Q4b (56%), 9708_w25_23_Q5b (59%)</t>
  </si>
  <si>
    <t xml:space="preserve">Responses to this question were of variable quality and the main issue was how well the analysis focused on the removal of a persistent deficit on the current account. Most candidates were able to distinguish between expenditure reducing and expenditure switching policies (although a minority confused them or failed to identify them leading to 0 marks) but their usefulness was often not fully analysed in removing a persistent deficit. In some cases, expenditure reducing policies were accurately identified but no attempt was made to explain how they might reduce the deficit or only a passing reference was made to a possible reduction in the level of imports leading to 0 or very low marks. Expenditure switching policies were analysed more successfully but again too much time was spent explaining the mechanics of, e.g., tariffs and not how successful they might be in reducing a persistent deficit. Disadvantages of such policies focused on retaliation and the significance of PED / Marshall Lerner although the latter was often asserted without explanation as in 1(d). As a result of weak analysis regarding the removal of a persistent deficit, evaluation was generally limited. However, there were some very strong responses that clearly addressed the question that gained up to the full 12 marks available.</t>
  </si>
  <si>
    <t xml:space="preserve">9708_s22_23_Q1a</t>
  </si>
  <si>
    <t xml:space="preserve">6.1.2</t>
  </si>
  <si>
    <t xml:space="preserve">imports, data trend</t>
  </si>
  <si>
    <t xml:space="preserve">Avocado market – US imports, Mexico and New Zealand</t>
  </si>
  <si>
    <t xml:space="preserve">Describe the change in the level and source countries of the US’s imports of avocados from 2013 to 2018.</t>
  </si>
  <si>
    <t xml:space="preserve">Various possibilities including
•  Overall increase in imports
•  Big increase in imports from Peru
•  Mexico remains the most important source of imports
•  Imports from Chile and Dom. Republic more variable
Award 1 mark for any of these points, 2 max.</t>
  </si>
  <si>
    <t xml:space="preserve">Candidates need to be aware that when a question refers to changes between two dates then they should not be describing year to year changes within the time itself. The focus should be on the change between the two dates in question. This should avoid the unnecessary and often irrelevant detail seen in many answers to questions such as this. In this question, there were 2 marks for identifying two changes and the most quoted changes were the increase in imports into the USA and the continued dominance of Mexico as the main exporter. However, this was often hidden in a great deal of unnecessary additional detail.</t>
  </si>
  <si>
    <t xml:space="preserve">9708_s22_23_Q1bi</t>
  </si>
  <si>
    <t xml:space="preserve">percentage change, data calculation</t>
  </si>
  <si>
    <t xml:space="preserve">Calculate the percentage change in the wholesale price of Mexican avocados between April 2019 and the end of July 2019.</t>
  </si>
  <si>
    <t xml:space="preserve">100 increase approximately (1)
Guidance: Percentage increase is based on an increase from approximately 300 pesos per 10 kg box to 600 pesos per 10 kg box using change from the start of April
Accept answers in the range 95 to 105 However, if data used is from end of April then the  change is c33 i.e. 150/450  100. Take note of when the data is taken from in April when marking the answer.</t>
  </si>
  <si>
    <t xml:space="preserve">9708_w23_22_Q1a (60%), 9708_w25_22_Q1aii (62%)</t>
  </si>
  <si>
    <t xml:space="preserve">This was a simple percentage change calculation. It was acceptable to use the data from the start or end of April as the starting point which gave answers of 100 per cent or 33 per cent respectively. Unfortunately, many candidates were unable to make this simple calculation and did not gain the available mark. As this is an important data handling skill, students would be well advised to ensure that they know the formula for calculation.</t>
  </si>
  <si>
    <t xml:space="preserve">9708_s22_23_Q1bii</t>
  </si>
  <si>
    <t xml:space="preserve">2.4.2, 2.1.5, 2.1.6</t>
  </si>
  <si>
    <t xml:space="preserve">demand shift, supply shift, price change</t>
  </si>
  <si>
    <t xml:space="preserve">Explain one possible demand reason and one possible supply reason for this change in price.</t>
  </si>
  <si>
    <t xml:space="preserve">For recognition of a valid demand reason (1) for a valid explanation as to why price has increased as a result (1)
For recognition of a valid supply reason (1) for a valid explanation as to why price has increased as a result (1)
Guidance: The question implies that an explanation of changes in demand and supply over the period April to July 2019 is required. So, no marks should be awarded for the usual general demand and supply factors. Demand side: new research into health benefits of avocados, buying for a special event e.g., Superbowl, panic buying. These changes will lead to a shift to the right of the demand curve. Supply side: bad weather in Mexico leads to less supply; increased demand elsewhere reduces supply available to USA leading to a shift to the left of the supply curve</t>
  </si>
  <si>
    <t xml:space="preserve">9708_s21_21_Q1b (61%)</t>
  </si>
  <si>
    <t xml:space="preserve">The important point of this question was to identify why the price of avocados had changed, i.e., risen. It was therefore important to identify why demand and supply factors had changed during the period and therefore standard responses such as changes in income, tastes, etc. were not accepted unless linked to the data. The main demand factors related to new research into health benefits and panic buying whereas the main supply factor related to the weather problems outlined in the text. In both cases, it was then essential to explain how these led to price rises due to an increase in demand and a fall in supply. Many candidates did gain full marks and those who did not made vague statements, did not relate factors to the data, and/or did not clearly demonstrate how the price increased.</t>
  </si>
  <si>
    <t xml:space="preserve">9708_s22_23_Q1c</t>
  </si>
  <si>
    <t xml:space="preserve">2.3.3, 2.3.4</t>
  </si>
  <si>
    <t xml:space="preserve">PES, short run vs long run, agricultural supply</t>
  </si>
  <si>
    <t xml:space="preserve">Using the information provided, consider whether the supply of avocados is price elastic or price inelastic in the short run and in the long run.</t>
  </si>
  <si>
    <t xml:space="preserve">Price inelastic in short run (1 mark) valid reason e.g., reference to drought and lack of water affecting supply (1 mark)
Price elastic in long run (1 mark) valid reason e.g., New producers enter the market (1 mark)
Guidance: The data refers to the supply of avocados as being ‘unpredictable’ and therefore difficult to control when price changes. This is a short run consideration. Longer term improved methods of farming and irrigation can make supply more responsive to price changes.</t>
  </si>
  <si>
    <t xml:space="preserve">The data made it very clear that the supply of avocados in the short run would be price inelastic due to the uncertainty of crop yields and problems of storage. However, in the long run supply may become more price elastic as growers adapt and therefore can change levels of supply more easily. Pleasingly, many candidates recognised this and gained full marks. However, many candidates continue to be confused by elasticity concepts and confused elastic and inelastic and /or confused PES with PED and therefore gained 0 marks.</t>
  </si>
  <si>
    <t xml:space="preserve">9708_s22_23_Q1d</t>
  </si>
  <si>
    <t xml:space="preserve">1.5.1, 1.1.3</t>
  </si>
  <si>
    <t xml:space="preserve">PPC, opportunity cost</t>
  </si>
  <si>
    <t xml:space="preserve">Explain, with the help of a production possibility curve diagram, the opportunity cost to a New Zealand farmer of converting from dairy to avocado production.</t>
  </si>
  <si>
    <t xml:space="preserve">PPC diagram with axes correctly labelled (1 mark)
Use of PPC diagram to show choices between dairy and Avocados (1 mark)
Application of opportunity cost to the shape of the PPC (1 mark)
Guidance: Correct labels and curve touching both axes Diagram used to explain the idea of choice on at least 2 different points on the curve. Curve may be used to explain constant opportunity cost (straight line) OR increasing opportunity cost (concave curve)</t>
  </si>
  <si>
    <t xml:space="preserve">9708_s25_23_Q1c (67%)</t>
  </si>
  <si>
    <t xml:space="preserve">This was a straightforward question about the use of the PPC to show opportunity cost. Whilst many candidates were able to draw an accurate curve and use it to show resources moving from dairy to avocado production and therefore opportunity costs, the majority by far ignored the relevance of the shape of the curve and therefore gained a maximum of 2 out of the 3 marks available. This point is clearly covered in the syllabus, and it was surprising that it was ignored in a question of this nature. The main reasons for zero marks were inaccurate or incompletely labelled diagrams or diagrams which were possibly more applicable to demand and supply analysis.</t>
  </si>
  <si>
    <t xml:space="preserve">9708_s22_23_Q1e</t>
  </si>
  <si>
    <t xml:space="preserve">;2.4;1.4;</t>
  </si>
  <si>
    <t xml:space="preserve">2.4.4, 1.4.2</t>
  </si>
  <si>
    <t xml:space="preserve">price mechanism, resource allocation, signalling</t>
  </si>
  <si>
    <t xml:space="preserve">Discuss whether the price mechanism in the avocado market is working to allocate resources successfully.</t>
  </si>
  <si>
    <t xml:space="preserve">For analysis that shows that the market is in fact operating successfully (up to 3 marks)
For analysis that explains why the market may not operate successfully in the future (up to 3 marks)
5 marks maximum for analysis leading to A valid conclusion as to whether the price mechanism in the avocado market is working to allocate resources successfully (1 mark)
Guidance: The market is operating effectively-price is signalling consumer preferences and being responsive to changes in demand and supply. Market could collapse if the health benefits prove to be wrong. New producers such as Kenya could flood the market with additional supply leading to a collapse in prices. Environmental pressures due to pressure on water supplies and forests being destroyed to plant new avocado bushes.</t>
  </si>
  <si>
    <t xml:space="preserve">There were a small number of very good answers to this question that clearly considered the role of the price mechanism in allocating resources successfully. Invariably, arguments suggesting that it did not tend to focus on environmental damage but failed to consider other failures such as surplus supply, etc. Quite often however, the environmental damage was the only relevant point considered which was the main cause of some low marks. A small minority of answers seemingly did not understand the question or the role of the price mechanism which is surprising given its importance within the syllabus. Section B – Essay questions</t>
  </si>
  <si>
    <t xml:space="preserve">9708_s22_23_Q2a</t>
  </si>
  <si>
    <t xml:space="preserve">1.6.2</t>
  </si>
  <si>
    <t xml:space="preserve">public good, non-rival, non-excludable, flood defences</t>
  </si>
  <si>
    <t xml:space="preserve">A government has decided to spend money building a new barrier to prevent flooding across a city. Explain why this flood defence barrier is likely to meet the characteristics of a public good.</t>
  </si>
  <si>
    <t xml:space="preserve">For knowledge and understanding of the difference between a private good and a public good by reference to the characteristics of excludable (1 mark) and rivalry (1 mark)
For application, explain that a flood defence system is a public good (1 mark), why it is non excludable (1 mark), why it is non rival (1 mark)
For application, explain that it cannot be a private good (1 mark) by accurate reference to both excludability and rivalry (1 mark) and the free rider problem (1 mark)
Guidance: Public goods have two key characteristics. These are that they are non-excludable and non-rival. Both need to be explained and the explanation applied to a new flood defence barrier. Better answers will then point out the free rider problem in the provision of public goods and why it would be difficult for funding to be from the private sector as a private good.</t>
  </si>
  <si>
    <t xml:space="preserve">Most of all the candidates answered Question 2 although most answers displayed a limited understanding of the difference between public and private goods. The characteristics that differentiate the two types of good are excludability and rivalry and not whether they are provided by government or the private sector as was suggested by many candidates. Even when the characteristics were identified, they were seldom explained clearly and accurately or occasionally lacked any explanation at all. Consequently, for most candidates, it was not possible to answer this question beyond a rudimentary grasp and even for those candidates who could explain why flood defences were a public good, the same logic was not applied to explain why it could not be a private good. Again, this is a very important part of the syllabus and frequently examined so the low quality of responses was a surprise. Overall marks were in the range of 0 and 5 with most around 2/3 out of the available 8.</t>
  </si>
  <si>
    <t xml:space="preserve">9708_s22_23_Q2b</t>
  </si>
  <si>
    <t xml:space="preserve">1.6.3, 3.2.3, 1.4.1</t>
  </si>
  <si>
    <t xml:space="preserve">merit goods, private sector, public sector, education, healthcare</t>
  </si>
  <si>
    <t xml:space="preserve">Education and healthcare are considered to be merit goods. Discuss why merit goods are provided by both the private sector and the public sector.</t>
  </si>
  <si>
    <t xml:space="preserve">For analysis of the reasons why merit goods are provided by the public sector (up to 4 marks)
For analysis of why merit goods are provided by the private sector (up to 4 marks)
For evaluation that considers why merit goods are likely to be provided by both the private and public sector (up to 3 marks) to arrive at a reasoned conclusion (1 mark)
Guidance: Merit goods have positive side effects when consumed. They are provided because of information failure which can lead to under consumption and under production. Consumers of things like education and healthcare do not perceive the true benefits usually because they do not have either any information or true information. Therefore, the government often provides merit goods. Merit goods in many countries are provided by the private sector as well as the public sector. This is often because the cost of provision to the public sector is too great or because the cost cannot be met in full. The case of healthcare is important in most low and middle- income countries. There are no marks awarded in part b for merely explaining / defining terms or phrases within the question.</t>
  </si>
  <si>
    <t xml:space="preserve">The significance of information failure and therefore underconsumption and under provision was often ignored in favour of merit goods ‘being good for you’. An understanding of this, together with the cost of provision was the basis for answering this question but most candidates simply based answers around assertions, e.g., private provision of education is of better quality so better off families will always choose it whereas poorer families will opt for public provision. A sound grasp of what merit goods are and the fact that both sectors may provide them, and the reasons why was not in evidence in most scripts. Again, this is a regularly examined and important part of the syllabus, and it was surprising to see a lack of economic analysis by many candidates.</t>
  </si>
  <si>
    <t xml:space="preserve">9708_s22_23_Q3a</t>
  </si>
  <si>
    <t xml:space="preserve">cost-push inflation, demand-pull inflation</t>
  </si>
  <si>
    <t xml:space="preserve">Explain the difference between cost-push inflation and demand-pull inflation.</t>
  </si>
  <si>
    <t xml:space="preserve">For knowledge and understanding of what is meant by inflation e.g., it is a situation where there is a sustained / persistent rise (1 mark) in the general / average price level / prices (1 mark)
For application that explains what is meant by cost push inflation (1 mark) an appropriate example of a cause (1 mark) duly explained as to why it causes inflation (1 mark)
For application that explains what is meant by demand pull inflation (1 mark) an appropriate example of a cause (1 mark) duly explained why this is different to cost push inflation (1 mark)
Guidance: Cost-push inflation is the outcome of a rise in the costs of production. This results in a shift to the left of the AS curve, increasing the price level. Possible causes could be an increase in wages above the rate of inflation, an increase in raw material costs or an increase in the price of fuel imports due to the depreciation of the currency Demand-pull inflation occurs when there is an increase in aggregate demand not matched by an increase in aggregate supply. This will have a strong effect if the economy is at or close to the level of full employment. The cause could be an increase in government spending, a reduction in taxation leading to a consumer boom or an increase in demand for exports following a depreciation of the currency.</t>
  </si>
  <si>
    <t xml:space="preserve">Relatively few candidates attempted this question which simply required a straightforward explanation of the difference between cost push and demand-pull inflation. Of those who did attempt it, most achieved marks of between 5 and 8 and the main reasons why full marks were not gained lay in a lack of precision as to what inflation is and/or some assessment of the difference between the two causes.</t>
  </si>
  <si>
    <t xml:space="preserve">9708_s22_23_Q3b</t>
  </si>
  <si>
    <t xml:space="preserve">;5.3;4.6;5.2;5.4;</t>
  </si>
  <si>
    <t xml:space="preserve">contractionary monetary policy, interest rates, inflation control, alternative policies</t>
  </si>
  <si>
    <t xml:space="preserve">Discuss whether a contractionary monetary policy is the best way to reduce the rate of inflation.</t>
  </si>
  <si>
    <t xml:space="preserve">For analysis that considers the advantages and disadvantages of using monetary policy to reduce the rate of inflation (up to 4 marks with a max of 3 if only advantages or disadvantages are analysed)
For analysis that considers the advantages and disadvantages of at least one other policy to reduce the rate of inflation (up to 4 marks per policy with a max of 3 if only advantages or disadvantages are analysed)
For evaluation that considers which is the best way to reduce the rate of inflation (3 marks) to reach a justified conclusion as to which is the best way (1 mark)
Guidance: Monetary policy involves measures that influence the price or quantity of money. These include interest rates and the money supply. In some countries exchange rate policy is included. Interest rate changes though have tended to be the main policy used to control the rate of inflation in most countries. In theory, an increase in the rate of interest should encourage more saving by consumers and less funding for investment by businesses. If effective, an increase in interest rates should reduce the rate of inflation. Fiscal policy can also be used. This involves increasing taxation or reducing government spending to reduce inflation. Both measures are at the cost of increasing the level of unemployment. Supply side policies are also possible, especially if there are structural weaknesses in an economy. There are no marks awarded in part b for merely explaining / defining terms or phrases within the question.</t>
  </si>
  <si>
    <t xml:space="preserve">9708_s21_22_Q4b (61%), 9708_w21_23_Q4b (56%), 9708_w22_22_Q2b (66%), 9708_s23_21_Q4b (56%), 9708_s23_22_Q5b (72%)</t>
  </si>
  <si>
    <t xml:space="preserve">Again, a straightforward question and when taken together with part (a), it is surprising that more candidates did not attempt Question 3. However, candidates need to be reminded that a question that asks whether a certain policy is the best way, suggests that it is necessary to compare it with an alternative policy. Of the few that answered this question, some tried to answer it by analysing the strengths and weaknesses of monetary policy in isolation which could only gain a maximum mark of 4. The most common alternative policy discussed was fiscal policy and better answers also considered supply side policies. Answers tended to be descriptive without sufficient depth of explanation, e.g., a rise in interest rates increases the exchange rates which increases the current account deficit. This may be true but, without explanation, it is an assertion and has little merit. Reasonable evaluation was rare and often consisted of summative statements repeating the analysis that did not offer an attempt to answer the question – which is the best way?</t>
  </si>
  <si>
    <t xml:space="preserve">9708_s22_23_Q4a</t>
  </si>
  <si>
    <t xml:space="preserve">6.3.3, 6.3.4</t>
  </si>
  <si>
    <t xml:space="preserve">current account deficit, causes, competitiveness</t>
  </si>
  <si>
    <t xml:space="preserve">Explain why some countries consistently have a deficit on the current account of the balance of payments.</t>
  </si>
  <si>
    <t xml:space="preserve">For knowledge and understanding of what the current account of the balance of payments measures (1 mark) and what is meant by a deficit (1 mark)
For application that explains the causes of a current account deficit (up to 3 marks)
For application that explains why some countries may experience a persistent deficit (up to 3 marks)
Guidance: The current account should be defined as trade in goods, services plus other income.
For the second mark, a deficit is where payments received by a country are exceeded by payments made by a country / where income from exports is exceeded by expenditure on imports. There are many causes of a current account deficit. These include an appreciation of the exchange rate; a reduced supply of primary goods for exports; deterioration in the terms of trade; reduced level of aid; reduced transfer of earnings from migrant workers overseas; increased protection from trading partners. The answer should focus on why some countries consistently have a deficit.</t>
  </si>
  <si>
    <t xml:space="preserve">9708_w24_21_Q5b (62%), 9708_w25_23_Q5a (56%)</t>
  </si>
  <si>
    <t xml:space="preserve">This question was answered by too few candidates to offer an assessment of overall performance. The knowledge and understanding part consisted of the meaning of the current account and the term deficit. What was needed was an understanding that the current account takes in to account more than the trade in goods and services and includes other income such as primary and secondary income. Furthermore, a deficit occurs when the total value of ‘import expenditure’ exceeds the total value of ‘export revenue’, i.e., the emphasis should be on value and not volume. Even in the limited number of responses seen, such accurate knowledge was rare. Those who did attempt this question were generally able to explain one cause of a deficit but were unable to explain the causes of persistent deficits which are generally structural.</t>
  </si>
  <si>
    <t xml:space="preserve">9708_s22_23_Q4b</t>
  </si>
  <si>
    <t xml:space="preserve">expenditure-switching policy, expenditure-reducing policy, current account deficit</t>
  </si>
  <si>
    <t xml:space="preserve">Discuss the extent to which expenditure-switching policies and expenditure-reducing policies might be able to reduce such a deficit.</t>
  </si>
  <si>
    <t xml:space="preserve">For analysis that considers the advantages and disadvantages of using expenditure-switching policies to remove a deficit on the current account of the balance of payments. (a maximum of 3 marks if only advantages or disadvantages are analysed) (Up to 4 marks)
For analysis that considers the advantages and disadvantages of using expenditure-reducing policies to remove a deficit on the current account of the balance of payments (a maximum of 3 marks if only advantages or disadvantages are analysed) (Up to 4 marks)
For evaluation that compares the advantages and disadvantages of the two approaches (3 marks) to arrive at a reasoned conclusion on which is to be of greater overall benefit in reducing a deficit on the current account of the balance of payments (1 mark)
Guidance: Candidates need to have a clear understanding of expenditure reducing and expenditure switching policies together with an understanding of the advantages and disadvantages of each. Examples of expenditure reducing policies which are designed to reduce domestic aggregate demand to reduce imports and increase goods for export may include:
•  raising taxes
•  reducing government spending etc.
Examples of expenditure switching policies which are designed to encourage people to switch from buying imported goods to buying domestically produced goods may include:
•  protectionist policies
•  supply side policies
•  exchange rate policies etc.
Analysis and evaluation should focus on how a persistent deficit on the current account may be removed using these policies but may also consider other impacts on the wider economy. There are no KU marks awarded in part b for merely explaining / defining terms or phrases within the question.</t>
  </si>
  <si>
    <t xml:space="preserve">This type of question has been asked frequently and requires a comparison of expenditure reducing and expenditure switching policies in terms of their usefulness in reducing a current account deficit. The main issue among the answers seen is that the policies may have been described but the extent to which they may reduce a deficit was rarely fully considered i.e., the strengths and weaknesses of each policy. Simply demonstrating knowledge of the mechanics of the policies has little or no merit unless the analysis considers their strength in reducing a deficit on current account. Consequently, good answers were rare which again is surprising given its popularity in the past as an exam question.</t>
  </si>
  <si>
    <t xml:space="preserve">9708_w22_21_Q1a</t>
  </si>
  <si>
    <t xml:space="preserve">;2.4;</t>
  </si>
  <si>
    <t xml:space="preserve">2.4.4</t>
  </si>
  <si>
    <t xml:space="preserve">functions of price, signalling, scarcity</t>
  </si>
  <si>
    <t xml:space="preserve">Governments and markets – price controls and buffer stocks</t>
  </si>
  <si>
    <t xml:space="preserve">Explain how ‘a product’s price acts as a signal of its scarcity’.</t>
  </si>
  <si>
    <t xml:space="preserve">For a reference to a situation where there are limited resources to satisfy unlimited wants and needs and so price rations the available resources among competing buyers (1 mark)
For a development in terms of a rising demand for a product, relative to its supply, will push up prices and act as an incentive to increase the quantity; the existence of scarcity giving rise to the need to make choices between the different uses that can be made of the scarce resources (1 mark)
2 marks maximum</t>
  </si>
  <si>
    <t xml:space="preserve">Most candidates were able to correctly explain how a product’s price acts as a signal of its scarcity by referring to the fact that a rise in price/higher price would indicate scarcity. However, relatively few candidates then went on to develop the explanation in terms of how this would have an impact on the reallocation of scarce resources in an economy.</t>
  </si>
  <si>
    <t xml:space="preserve">9708_w22_21_Q1b</t>
  </si>
  <si>
    <t xml:space="preserve">;3.2;</t>
  </si>
  <si>
    <t xml:space="preserve">3.2.4</t>
  </si>
  <si>
    <t xml:space="preserve">minimum price, fuel</t>
  </si>
  <si>
    <t xml:space="preserve">Explain one possible reason why the Government of Iran may have decided to raise the minimum price of fuel in 2019.</t>
  </si>
  <si>
    <t xml:space="preserve">For an identification of one possible reason (1 mark)
For a more developed explanation of one possible reason (1 mark)
2 marks maximum
Guidance: Possible reasons could include:
• the need to reduce the demand for fuel; an increase in the price could be effective if the PED for fuel is elastic
• this could benefit the country’s current account on the balance of payments if a substantial amount of fuel is imported, although Iran does have a large amount of crude oil reserves
• this will encourage producers to increase the supply of fuel which will help them to increase their profits
• an increase in producer profits could lead to a substantial increase in government revenue from the taxes on profits
• if subsidies have been reduced, the money saved could be reallocated</t>
  </si>
  <si>
    <t xml:space="preserve">Most candidates were able to explain one possible reason why the Government of Iran might have decided to raise the minimum price of fuel in 2019, such as to reduce the demand for fuel, to improve the country’s current account on the balance of payments, to increase the profits of producers/suppliers, to reduce pollution or congestion or to increase the government’s tax revenue. However, relatively few candidates then went on to develop the explanation, such as in terms of where the extra tax revenue might be spent or in relation to nudging people in Iran towards a greater use of public transport.</t>
  </si>
  <si>
    <t xml:space="preserve">9708_w22_21_Q1c</t>
  </si>
  <si>
    <t xml:space="preserve">minimum price, excess supply, basic food</t>
  </si>
  <si>
    <t xml:space="preserve">Explain, with the help of a diagram, how an effective minimum price would affect the market for a basic food, such as rice in Haiti.</t>
  </si>
  <si>
    <t xml:space="preserve">For an explanation of the effect of a minimum price in a market (Up to 2 marks)
For a correctly drawn and labelled diagram to show the operation of a minimum price in a market for a basic food, such as rice in Haiti (Up to 2 marks)
4 marks maximum
Guidance: Effective minimum price:
• a minimum price in a market is where a price floor is established
• to be effective, this needs to be above t h e e quilibrium price
• the equilibrium price in a market would be higher than would be the case if there was no government intervention
• farmers are therefore guaranteed these prices
• this is likely to have a positive effect on their incomes
• it could lead to excess supply/surplus
• this could lead to the possibility of food rotting in warehouses
Diagram:
• One mark for correctly labelled P, Q, D and S
• One mark for showing a minimum price line above the equilibrium, for showing a price higher than the equilibrium price and for showing the change in quantity</t>
  </si>
  <si>
    <t xml:space="preserve">9708_w22_22_Q1d (62%), 9708_s25_24_Q3a (58%)</t>
  </si>
  <si>
    <t xml:space="preserve">Many candidates were able to explain, with the help of a diagram, how an effective minimum price would affect the market for a basic food, such as rice in Haiti. They explained that a minimum price would be likely to increase producer incomes, but that it would also be likely to lead to a situation of excess supply. Some of the diagrams were of a good standard but, unfortunately, some were poorly drawn and/or poorly labelled. Some candidates drew the minimum price line below, rather than above, the equilibrium, while some did not clearly show the two price positions on the vertical axis and the three quantity positions on the horizontal axis. A few candidates used a macro, rather than a micro, diagram where the vertical axis was labelled ‘price level’ rather than ‘P’ and the horizontal axis was labelled ‘real output’ rather than ‘Q’, while the ‘D’ and ‘S’ curves were labelled ‘AD’ and ‘AS’.</t>
  </si>
  <si>
    <t xml:space="preserve">9708_w22_21_Q1d</t>
  </si>
  <si>
    <t xml:space="preserve">;3.2;2.4;</t>
  </si>
  <si>
    <t xml:space="preserve">3.2.5, 2.4.4</t>
  </si>
  <si>
    <t xml:space="preserve">buffer stock, price mechanism, commodity prices</t>
  </si>
  <si>
    <t xml:space="preserve">‘Governments use stocks to smooth fluctuations in the price of a commodity like cocoa.’ Consider whether government action to smooth fluctuations helps the workings of the price mechanism.</t>
  </si>
  <si>
    <t xml:space="preserve">For an explanation of how government action to smooth price fluctuations may help the workings of the price mechanism (Up to 3 marks)
For an explanation of how government action to smooth price fluctuations may not help the workings of the price mechanism (Up to 3 marks)
5 marks maximum
Reserve 1 mark for a conclusion
6 marks maximum
Guidance: Government action might help the workings of the price mechanism:
• it can help to stabilise a market
• stocks can be used to smooth fluctuations in the price of commodity, such as cocoa, avoiding/reducing large price variations
• a government could buy stocks when there was an excess supply of a product in the market
• a government could sell stocks when there was an excess demand for a product in the market
Government action might not help the workings of the price mechanism:
• it could distort the market by not allowing prices to reflect changes in the conditions of demand for, and supply of, a product
• the consideration of how such action by a government might not help the workings of the price mechanism can be discussed in relation to the different functions of the price mechanism, i.e. rationing, signalling and the transmission of preferences</t>
  </si>
  <si>
    <t xml:space="preserve">A number of candidates did make quite a good attempt to consider whether government action to smooth price fluctuations through the use of stocks helped the workings of the price mechanism. They considered how government action could help to stabilise a market by buying stocks when there was excess supply and selling stocks when there was excess demand, and then considered how this could distort the market by not allowing prices to reflect changes in the conditions of demand for, and supply of, a product. There was some good discussion of the different functions of the price mechanism, in relation to rationing, signalling and the transmission of preferences. A number of candidates made no attempt to offer a conclusion, even though it was a ‘discuss’ question.</t>
  </si>
  <si>
    <t xml:space="preserve">9708_w22_21_Q1e</t>
  </si>
  <si>
    <t xml:space="preserve">;3.2;4.6;</t>
  </si>
  <si>
    <t xml:space="preserve">3.2.4, 4.6.4</t>
  </si>
  <si>
    <t xml:space="preserve">maximum price, inflation control, shortages</t>
  </si>
  <si>
    <t xml:space="preserve">Discuss whether maximum price controls will always be effective in controlling inflation.</t>
  </si>
  <si>
    <t xml:space="preserve">For a discussion of the advantages of using maximum price controls to control inflation (Up to 3 marks)
For a discussion of the disadvantages of using maximum price controls to control inflation (Up to 3 marks)
5 marks maximum
Reserve 1 mark for a conclusion
6 marks maximum
Guidance: The advantages of establishing a maximum price in a market in the form of a price ceiling:
• the price will be lower than what would otherwise be the case if there was no government intervention
• this would lead to a lower rate of inflation in an economy
• this helps the poor afford the necessities of life
• these could include essential foodstuffs, housing rents and transport
• specific examples given include the price of foodstuffs, including bread in
Benin and rice in Haiti The disadvantages of establishing a maximum price in a market in the form of a price ceiling:
• lower prices could stimulate demand- pull inflation
• the creation of a shortage as a result of the excess demand created in the market
• hoarding
• black/illegal markets which can charge relatively high prices
• queuing or rationing
• if the controls are not effective, it will not control inflation</t>
  </si>
  <si>
    <t xml:space="preserve">9708_w22_22_Q1f (58%)</t>
  </si>
  <si>
    <t xml:space="preserve">Many candidates made quite a good attempt to discuss whether maximum price controls would always be effective in controlling inflation in an economy. They discussed how maximum price controls would keep down prices and costs in an economy, helping to control cost-push inflation, and then went on to discuss how lower prices could help to stimulate demand, contributing to demand-pull inflation. A number of candidates did not offer a conclusion, even though it was a ‘discuss’ question.</t>
  </si>
  <si>
    <t xml:space="preserve">9708_w22_21_Q2a</t>
  </si>
  <si>
    <t xml:space="preserve">2.2.6</t>
  </si>
  <si>
    <t xml:space="preserve">PED determinants, branding, time period</t>
  </si>
  <si>
    <t xml:space="preserve">Explain two factors that will determine the price elasticity of demand for a particular brand of car and how this price elasticity of demand may change over time.</t>
  </si>
  <si>
    <t xml:space="preserve">For Knowledge and Understanding:
For a correct definition of price elasticity of demand
For a correct formula of price elasticity of demand. (Up to 2 marks)
2 marks maximum
For Application: Application of one factor affecting the PED for a particular brand of car, taking into account how this may change over time. (Up to 3 marks)
Application of a second factor affecting PED for a particular brand of car, taking into account how this may change over time. (Up to 3 marks)
6 marks maximum
Guidance: Definition of PED: the measurement of the extent to which a change in price leads to a change in quantity demanded Formula of PED: percentage change in the quantity demanded of a product divided by the percentage change in the price of a product. Factors affecting PED:
• the availability and price of substitutes: the market contains many firms and so
PED for a particular brand of car is likely to be relatively elastic
• the price of the product relative to income: the higher the relative proportion of income accounted for by a particular brand of car, the more elastic the PED is likely to be, although this could change over time as incomes rise
• loyalty: if consumers have a strong loyalty to a particular brand of car, this will tend to make PED relatively inelastic
• need or want: the degree to which a particular brand of car is seen as a necessity or a luxury
• the time period: the PED for any particular brand of car is likely to increase over time, so it is more likely to be relatively elastic in the LR than in the SR</t>
  </si>
  <si>
    <t xml:space="preserve">In this part of the question, candidates were required to explain two factors that could determine the price elasticity of demand for a particular brand of car and how this price elasticity of demand might change over time. Most answers demonstrated a sound knowledge and understanding of the concept of price elasticity of demand, explaining what it was and giving the formula for its measurement. The candidates then went on to explain two possible factors that could determine the PED for a car, such as the availability and price of substitutes, the price of a car relative to income and the extent of brand loyalty. Many candidates simply offered this static explanation without considering how this might change over time. Also, some candidates wrote about PED in general without any specific reference to cars.</t>
  </si>
  <si>
    <t xml:space="preserve">9708_w22_21_Q2b</t>
  </si>
  <si>
    <t xml:space="preserve">PED, YED, business decisions, cars</t>
  </si>
  <si>
    <t xml:space="preserve">Discuss whether knowledge of price elasticity of demand or income elasticity of demand would be of greater use to a business that produces cars.</t>
  </si>
  <si>
    <t xml:space="preserve">For Analysis: Analysis of the usefulness of knowledge of the price elasticity of demand to a business that produces cars. (Up to 4 marks)
Analysis of the usefulness of knowledge of the income elasticity of demand to a business that produces cars. (Up to 4 marks)
8 marks maximum
For Evaluation:
For exercising some judgement on whether knowledge of price elasticity of demand or income elasticity of demand would be of greater use to a business that produces cars.(Up to 4 marks)
Reserve 1 mark for a conclusion
4 marks maximum
Guidance: The usefulness of knowledge of price elasticity of demand:
• t h e b u siness will be able to predict the effect of a change in the price of a car on demand reasonably accurately
• if demand is price elastic, a fall in price will lead to an increase in revenue
• if demand is price inelastic, a fall in price leads to a decrease in revenue
• if PED is unitary elastic, a change in price will not lead to a change in revenue
The usefulness of knowledge of the income elasticity of demand:
• the business will benefit from knowing about the effect of changes in income in an economy, e.g. as incomes increase, production can shift from a basic car
• knowledge of YED will enable the business to plan for the future, e.g. having the resources to meet demand
• increases in income in an economy may lead the business to produce better and more luxurious cars with more features and functions (luxuries have a YED of more than 1 and so the business will be able to know whether to produce more luxury goods)</t>
  </si>
  <si>
    <t xml:space="preserve">9708_s21_21_Q3b (56%), 9708_w21_23_Q3b (64%), 9708_w23_21_Q2b (74%), 9708_w23_23_Q2b (70%), 9708_w25_21_Q2b (57%), 9708_s26_24_Q2b (63%)</t>
  </si>
  <si>
    <t xml:space="preserve">In the second part of the question, candidates were required to discuss whether knowledge of price elasticity of demand or income elasticity of demand would be of greater use to a business that produced cars. There were some good answers that offered a clear analysis of these two elasticities in relation to a business that produced cars, although some answers were generic and did not contain any analysis that was specifically related to car production. There was a very clear ‘steer’ in the question, which focused on whether knowledge of one rather than the other would be of greater use to a business that produced cars but, despite this, most candidates provided little, if any, evaluation, even though four marks were available for evaluation in addition to the eight marks available for analysis.</t>
  </si>
  <si>
    <t xml:space="preserve">9708_w22_21_Q3a</t>
  </si>
  <si>
    <t xml:space="preserve">1.5.3, 1.3.1</t>
  </si>
  <si>
    <t xml:space="preserve">PPC shift, quantity of labour, quality of labour</t>
  </si>
  <si>
    <t xml:space="preserve">Explain, with the use of a diagram(s), how the production possibility curve of an economy could be affected by a decrease in the quantity of labour available, but an increase in its quality.</t>
  </si>
  <si>
    <t xml:space="preserve">For Knowledge and Understanding:
For knowledge and understanding of the production possibility curve of an economy. (Up to 2 marks)
2 marks maximum
For Application:
For a diagram and explanation of how a decrease in the quantity of labour would shift the PPC to the left. (Up to 3 marks)
For a diagram and explanation of how an increase in the quality of labour would shift the PPC to the right. (Up to 3 marks)
6 marks maximum
Guidance: Production possibility curve:
• a PPC is based on a two-product economy
• a PPC shows the range of combinations of two products that may be produced if the existing level of resources in an economy is being fully utilised
A decrease in the quantity of labour:
• this would lead to a reduction in the productive potential of an economy (1)
Diagram:
• correct labelling of axes and PPC drawn in such a way that it touches both axes (it can be straight or curved) (1)
• the PPC shifts to the left (1)
An increase in the quality of labour:
• this would lead to an increase in the productive potential of an economy (1)
Diagram:
• correct labelling of axes and PPC drawn in such a way that it touches both axes (it can be straight or curved) (1)
• the PPC shifts to the right (1)</t>
  </si>
  <si>
    <t xml:space="preserve">In this part of the question, candidates were required to explain, with the use of a diagram, how the production possibility curve of an economy could be affected by a decrease in the quantity of labour, but an increase in the quality of labour available. Most candidates were able to explain how a decrease in the quantity of labour available would shift the PPC to the left and an increase in the quality of labour available would shift the PPC to the right. These explanations were supported by diagrams which clearly showed these shifts. However, some of the diagrams were poorly drawn, with the PPC failing to touch the two axes in many cases. The labelling of the diagrams was also poor in many cases, with the two axes labelled as ‘P’ and ‘Q’ rather than as ‘Good A’ and ‘Good B’ or as ‘Consumer goods’ and ‘Capital goods’. Some candidates even labelled the two axes as ‘Quantity of labour’ and ‘Quality of labour’. A few candidates drew a demand and supply diagram, rather than one showing a production possibility curve.</t>
  </si>
  <si>
    <t xml:space="preserve">9708_w22_21_Q3b</t>
  </si>
  <si>
    <t xml:space="preserve">supply-side policy, enterprise, entrepreneurship</t>
  </si>
  <si>
    <t xml:space="preserve">Discuss whether supply side policies will be successful in increasing the quantity and quality of the factor enterprise in a modern economy.</t>
  </si>
  <si>
    <t xml:space="preserve">For Analysis: Analysis of the potential advantages of supply side policies in increasing the quantity and quality of the factor enterprise in a modern economy. (Up to 4 marks)
Analysis of the potential limitations of supply side policies in increasing the quantity and quality of the factor enterprise in a modern economy. (Up to 4 marks)
8 marks maximum
For Evaluation:
For exercising some judgement on whether supply side policies will be successful in increasing the quantity and quality of the factor enterprise in a modern economy.(Up to 4 marks)
Reserve 1 mark for a conclusion
4 marks maximum
Guidance: Potential advantages of supply side policies:
• lower taxes could encourage people to become entrepreneurs
• higher expenditure on education and training/reskilling could improve the quality of the factor enterprise, making entrepreneurs more innovative and more willing to take a risk
• deregulation could lead to laws being reduced to make the setting up of an enterprise easier
• financial support from the government would enable more enterprises to survive and to stay in business
Potential limitations of supply side policies:
• the effects of supply side policies can take a long time to show, e.g. training
• some entrepreneurs might become too dependent on government support and so become inefficient
• the policies will not guarantee that all enterprises will be successful
• a policy of privatisation might actually reduce the quantity of the factor enterprise needed
• questionable whether enterprise can be taught/trained</t>
  </si>
  <si>
    <t xml:space="preserve">In the second part of the question, candidates were required to discuss whether supply side policies would be successful in increasing the quantity and quality of the factor enterprise in a modern economy. There were a number of good answers that demonstrated a sound analysis of the likely success of a range of different policies, such as higher expenditure on education and training and greater deregulation and flexibility in markets, and then went on to consider possible limitations of such policies, such as the fact that they were likely to take a long time to show an impact. Unfortunately, some candidates wrote about only the quantity of the factor enterprise, without any consideration of its quality, while other candidates wrote about the advantages and limitations of supply side policies in general without any reference to the factor enterprise. There were eight marks available for analysis and four marks for evaluation, but the quality of the evaluation was rather limited, with candidates writing very little on whether supply side policies were likely to be successful in increasing both the quantity and quality of the factor enterprise.</t>
  </si>
  <si>
    <t xml:space="preserve">9708_w22_21_Q4a</t>
  </si>
  <si>
    <t xml:space="preserve">Explain, with the use of a diagram(s), two factors that could bring about a depreciation in the value of a country’s exchange rate in a freely floating exchange rate system.</t>
  </si>
  <si>
    <t xml:space="preserve">For Knowledge and Understanding:
For a correct explanation of a floating exchange rate system (1 mark)
For a correct diagram showing a floating exchange rate system (1 mark)
2 marks maximum
For Application: Explanation of one factor that could bring about a depreciation in the value of a country’s exchange rate in a freely floating exchange rate system. (Up to 3 marks)
Explanation of a second factor that could bring about a depreciation in the value of a country’s exchange rate in a freely floating exchange rate system. (Up to 3 marks)
6 marks maximum
Guidance: Definition of a floating exchange rate system:
• one in which the exchange rate is determined by the intersection of the demand for a currency and the supply of a currency or not fixed by the government
Diagram:
• vertical axis needs to indicate that it is the price of a currency rather than any price in order for the diagram to be given a mark, assuming that D and S are correctly labelled
Factors that could bring about a depreciation:
• a decrease in the demand for a currency, e.g. if fewer exports are sold
• an increase in the supply of a currency, e.g. if more imports are bought
• lower interest rates
• a higher rate of inflation compared with trading competitors because exports will be less competitive
• a deficit in the balance of payments on current account will contribute to a depreciation</t>
  </si>
  <si>
    <t xml:space="preserve">9708_s21_21_Q4a (62%)</t>
  </si>
  <si>
    <t xml:space="preserve">In this part of the question, candidates were required to explain, with the use of a diagram, two factors that could bring about a depreciation in the value of a country’s exchange rate in a freely floating exchange rate system. Most candidates were able to correctly explain what was meant by a freely floating exchange rate system in terms of a rate determined by the demand for, and the supply of, a currency without any intervention by a government, although some candidates got mixed up with a fixed exchange rate system. Most candidates were also able to draw a diagram to show such a system, although the labelling of the vertical axis proved a problem for many candidates, labelling it simply as ‘Price’ rather than as the price of one currency in terms of another or ‘Exchange rate’. Candidates were generally able to explain two factors that could bring about a depreciation in the value of the exchange rate, causing a decrease in the demand for the currency, such as when fewer exports were sold, or an increase in the supply of a currency, such as when more imports were bought. There were some good answers in relation to interest rates and rates of inflation in different countries. Some candidates misread the question and wrote about an appreciation, rather than a depreciation, in the value of a country’s exchange rate.</t>
  </si>
  <si>
    <t xml:space="preserve">9708_w22_21_Q4b</t>
  </si>
  <si>
    <t xml:space="preserve">;6.5;6.2;</t>
  </si>
  <si>
    <t xml:space="preserve">6.5.2, 6.2.2</t>
  </si>
  <si>
    <t xml:space="preserve">protectionism, current account deficit, retaliation</t>
  </si>
  <si>
    <t xml:space="preserve">Discuss whether protectionist policies would be the most effective way to correct a current account deficit on the balance of payments in an economy.</t>
  </si>
  <si>
    <t xml:space="preserve">For Analysis: The potential advantages of protectionist policies to correct a current account deficit on the balance of payments in an economy. (Up to 4 marks)
The potential limitations of protectionist policies to correct a current account deficit on the balance of payments in an economy. (Up to 4 marks)
8 marks maximum
For Evaluation:
For exercising some judgement on whether protectionist policies would be the most effective way to correct a current account deficit on the balance of payments in an economy. (Up to 4 marks)
Reserve 1 mark for a conclusion
4 marks maximum
Guidance: Potential advantages of protectionist policies:
• tariffs would make imports more expensive and discourage the consumption of them
• quotas would restrict the volume of imported products
• embargoes would place a complete ban on certain imported products
• excessive administrative burdens (‘red tape’) would make it much more difficult to actually get products into a country
• export subsidies would help to make domestic products more price competitive in international markets
Potential limitations of protectionist policies:
• tariffs may not be very effective if the demand for the imported products is relatively price inelastic
• some quotas may not be that restrictive
• an embargo could lead to retaliation
• there may be ways of getting round the excessive administrative burdens
• the effect of export subsidies would depend on the PED for the products and could also lead to retaliation</t>
  </si>
  <si>
    <t xml:space="preserve">9708_w21_21_Q4b (68%), 9708_m23_22_Q5b (78%), 9708_s23_22_Q4b (71%), 9708_m24_22_Q4b (73%), 9708_w24_23_Q5b (66%), 9708_w25_22_Q4b (61%), 9708_w25_23_Q5b (56%)</t>
  </si>
  <si>
    <t xml:space="preserve">In the second part of the question, candidates were required to discuss whether protectionist policies would be the most effective way to correct a current account deficit on the balance of payments in an economy. Most candidates were able to analyse some of the various advantages and limitations of such protectionist policies as tariffs, quotas, embargoes, excessive administrative burdens and export subsidies, but only a minority of candidates offered a sound evaluation in terms of exercising some judgement on which of the policies would be likely to be the most effective way to correct a current account deficit on the balance of payments.</t>
  </si>
  <si>
    <t xml:space="preserve">9708_w22_22_Q1a</t>
  </si>
  <si>
    <t xml:space="preserve">2.4.2</t>
  </si>
  <si>
    <t xml:space="preserve">price fall, supply increase</t>
  </si>
  <si>
    <t xml:space="preserve">Malawi/Zimbabwe – maize prices</t>
  </si>
  <si>
    <t xml:space="preserve">Identify one possible cause of the decline in world export prices of maize.</t>
  </si>
  <si>
    <t xml:space="preserve">For the identification of one possible cause (1 mark)
Guidance: Extract 1 contains possible causes. These include supply factors such as large global supplies and good harvest prospects from South America and demand factors such as lower demand for maize from the biofuel and animal feed industries. The cause identified does not have to be confined to the data. Any valid demand or supply factor is acceptable provided it identifies why demand or supply may change.</t>
  </si>
  <si>
    <t xml:space="preserve">There were several possible causes discussed within the extract that could have been used and many candidates did make simple references to them. However, a simple reference to either an increase in supply and/or a fall in demand was insufficient without an underlying cause being identified. Those who had read the data carefully answered this well. Candidates need to be reminded to make full use of the data, where appropriate, when answering Question 1.</t>
  </si>
  <si>
    <t xml:space="preserve">9708_w22_22_Q1b</t>
  </si>
  <si>
    <t xml:space="preserve">;2.1;2.4;</t>
  </si>
  <si>
    <t xml:space="preserve">2.1.3, 2.4.2</t>
  </si>
  <si>
    <t xml:space="preserve">determinants of demand, demand shift</t>
  </si>
  <si>
    <t xml:space="preserve">Explain one change in a factor of demand that would lead to maize prices rising in Malawi despite the increase in domestic production.</t>
  </si>
  <si>
    <t xml:space="preserve">For identification of any appropriate demand factor (1 mark)
And for an explanation of why this could lead to a rise in maize prices in Malawi, i.e., this may lead to demand (shifting to the right and therefore) exceeding supply / a shortage. (1 mark)
Guidance: Any appropriate demand factor can be accepted. Change in tastes, rise in income, rise in the price of a substitute etc. The explanation may be supported by a diagram but do not reward an unexplained diagram for the second mark.</t>
  </si>
  <si>
    <t xml:space="preserve">Several demand factors may have been referred to, but these had to be appropriate to explain why maize prices had risen despite the increase in supply. Consequently, the demand factor had to refer to a change in the factor itself e.g., a rise in income and the fact that the increase in demand exceeded the increase in supply e.g., creating a shortage. Most candidates were able to gain the first mark relatively few recognised the fact that although increasing, supply was unable to match the increase in demand. Some candidates suggested a rise in the minimum price as a demand factor which was incorrect unless accompanied by an explanation that this may lead to an increase in demand by the government to purchase excess supply. A minority of candidates incorrectly discussed supply factors such as wage costs.</t>
  </si>
  <si>
    <t xml:space="preserve">9708_w22_22_Q1c</t>
  </si>
  <si>
    <t xml:space="preserve">2.4.2, 2.1.6</t>
  </si>
  <si>
    <t xml:space="preserve">supply and demand, price rise, data interpretation</t>
  </si>
  <si>
    <t xml:space="preserve">With reference to Extract 2 explain two reasons why maize prices are rising in Zimbabwe despite the fall in the world export price of maize.</t>
  </si>
  <si>
    <t xml:space="preserve">For identification of a reason (1 mark) and for explanation of how this will cause prices of maize to rise (1 mark)
Guidance: Extract 2 states that the two reasons are ‘sustained weakness in Zimbabwe’s currency’ and the ‘sharply reduced harvest’. These need to be identified and explained. Only accept valid reasons contained in extract 2 that explicitly refer to Zimbabwe. The explanation should develop into why this reason will cause the price of maize to rise in Zimbabwe. Relevant diagrams should only be rewarded if used as part of the explanation.</t>
  </si>
  <si>
    <t xml:space="preserve">The question referred to a specific part of the data i.e., extract 2, which gave only two valid reasons i.e., the sustained weakness in Zimbabwe’s currency and the sharply reduced harvest. Most candidates referred accurately to these albeit occasionally in a vague manner. However, some candidates selected reasons not contained within the extract which were not relevant or, selecting information from the extract that would reduce prices e.g., increasing producer subsidies. Where correct reasons were identified, the most common cause of missed marks was the inability to clearly explain why this would increase the price of maize e.g., a shortage or increase in the price of imported maize on which Zimbabwe was dependent.</t>
  </si>
  <si>
    <t xml:space="preserve">9708_w22_22_Q1d</t>
  </si>
  <si>
    <t xml:space="preserve">minimum price, incentive to produce</t>
  </si>
  <si>
    <t xml:space="preserve">Explain, with the help of a diagram, how a rise in the minimum price of maize in Malawi will encourage production.</t>
  </si>
  <si>
    <t xml:space="preserve">For a fully accurate S and D diagram that clearly shows a rise in the minimum price of maize and the increase in supply (2 marks)
OR
For a fully accurate S and D diagram that clearly shows the introduction of a minimum price of maize and the increase in supply (1 mark max)
For an accompanying explanation that clearly explains that there has been a rise in the minimum price of maize and that this should increase its production because it will encourage farmers to produce more maize. (1 mark)
Guidance: Two marks are available for an accurate diagram showing a movement upward (rise) of the guaranteed price and the extension in supply. The diagram must be accurately labelled. There must be an explanation that accompanies the diagram that clearly explains this is a rise in the minimum price rather than the introduction of a minimum price for full marks. If the diagram does not make it clear that this is a rise in the minimum price then a maximum of one mark should be awarded overall.</t>
  </si>
  <si>
    <t xml:space="preserve">9708_w22_21_Q1c (62%)</t>
  </si>
  <si>
    <t xml:space="preserve">Both the data and the question made it clear that this was an increase in an existing minimum price rather than the introduction of one. Unfortunately, many candidates simply drew a diagram showing the impact of a new minimum price and the resulting surplus rather than an increase in the price and the increase in quantity supplied. This meant that full marks were rarely obtained. Other common problems were a lack of accurate labelling and clear illustration of the increase in quantity supplied. A few candidates also showed the impact of a maximum price. The third mark was reserved for an explanation as to why production would be encouraged and whilst many (who had recognised this was a rise in the minimum price) did so, there are still many candidates who merely describe the diagram in words and therefore omitted any reference to the incentive created.</t>
  </si>
  <si>
    <t xml:space="preserve">9708_w22_22_Q1e</t>
  </si>
  <si>
    <t xml:space="preserve">3.2.2, 2.2.7</t>
  </si>
  <si>
    <t xml:space="preserve">subsidy, subsidy incidence, PED, PES</t>
  </si>
  <si>
    <t xml:space="preserve">Consider, with the help of a diagram, whether a subsidy on maize production will benefit both the producers of maize and poorer households in Zimbabwe equally.</t>
  </si>
  <si>
    <t xml:space="preserve">For an accurately labelled diagram that shows the shift to the right of the supply curve and the fall in equilibrium price that benefits the consumer (1 mark)
and the rise in price received by the producer (plus 1 mark) and for an evaluative comment that refers to and accurately explains the significance of at least one measure of elasticity on the benefit to the producer and / or the consumer. (1 mark)
and reaches a justified conclusion that benefit may / may not be enjoyed equally. (1 mark)
Guidance: The diagram should show a shift to the right of the supply curve and a fall in price- benefitting consumers and the payment to producers shown as the vertical distance between the new supply curve and the old supply curve at the new price.
For both marks for the diagram, the impact on the price paid by the consumer and the effective price received by the producer must be clearly shown. The answer just requires a brief explanation that the extent of the benefit to producers and consumers depends mainly on PED e.g. if it is elastic then producers will gain more and if inelastic, consumers will. May also depend on PES and consumers gain more when PES is more elastic and vice versa. Justified conclusion needed for final mark</t>
  </si>
  <si>
    <t xml:space="preserve">Many candidates wrongly identified this question as one that required an explanation of the impact of a subsidy on consumer and producer surplus and consequently often gained only a maximum of 1 mark for showing the shift in the supply curve and the fall in equilibrium price. The question was focused on the benefits to both the producer and the consumer and therefore required a diagram showing the incidence of the subsidy i.e., the impact on the price paid by the consumer and the effective price charged by the producer. Only a minority of candidates recognised this and produced an accurate diagram. The discussion then required an assessment of the changes in each case and the significance of elasticities to form a judgement about whether the benefits were equally shared or not. Again, this was not particularly well answered with often vague comments that it depended on PED without any explanation. Once again, there were examples of incorrect labelling of diagrams including supply and demand curves the wrong way round, the changes in price being incorrectly labelled or omitted entirely. Candidates need to be reminded that whether diagrams are required or not in a question, where used they must be clear and accurate to gain any credit.</t>
  </si>
  <si>
    <t xml:space="preserve">9708_w22_22_Q1f</t>
  </si>
  <si>
    <t xml:space="preserve">3.2.4, 3.3.4</t>
  </si>
  <si>
    <t xml:space="preserve">maximum price, shortages, poorer households, staple food</t>
  </si>
  <si>
    <t xml:space="preserve">Discuss whether maximum prices on staple foods such as maize are likely to be effective in providing food for poorer households in Zimbabwe.</t>
  </si>
  <si>
    <t xml:space="preserve">For an explanation that a maximum price on the market for maize is intended to keep the price low / affordable for poorer households (1 mark)
For an explanation of the problems/ consequences caused in the market by the introduction of a maximum price for maize (up to 3 marks)
For an evaluation as to whether such problems/ consequences can be overcome leading to a reasoned conclusion (reserve 1 mark for the conclusion) (up to 2 marks)
Guidance: The imposition of the maximum price will lead to a shortage of maize in the market. In the absence of equilibrium price another method of distributing maize will need to be found. This might lead to queuing, first come first served or illegal markets. A rationing system might alleviate the problems. Although a diagram is likely to be used, this is not a requirement of the question and marks cannot be allocated specifically. The use of a diagram if accurate and correctly explained may be used in the explanation and rewarded accordingly.</t>
  </si>
  <si>
    <t xml:space="preserve">9708_w22_21_Q1e (58%)</t>
  </si>
  <si>
    <t xml:space="preserve">Many candidates were able to produce good responses to this question and were able to explain the benefits of a maximum price for poorer households and the drawbacks of such a policy. Answers were often less effective in assessing whether the drawbacks could be overcome e.g., by government policy and thus forming a balanced conclusion. The least successful answers tended to assert outcomes such as shortages, illegal markets etc., without explaining what they were or why they might arise i.e., as a result of a fall in supply and a rise in demand. Candidates need to be reminded that assertions cannot be rewarded as application or analysis and that they must be accompanied by relevant explanation. Also, unless the question requires an assessment or comparison with other policies, e.g., this question may have asked whether a maximum price was the best policy, then the discussion of alternative policies is irrelevant and will not be credited e.g., the use of subsidies. Section B Essays</t>
  </si>
  <si>
    <t xml:space="preserve">9708_w22_22_Q2a</t>
  </si>
  <si>
    <t xml:space="preserve">;5.3;</t>
  </si>
  <si>
    <t xml:space="preserve">5.3.2</t>
  </si>
  <si>
    <t xml:space="preserve">money, functions of money, contactless payments</t>
  </si>
  <si>
    <t xml:space="preserve">In many economies, the use of cash is declining as people use contactless payments that transfer funds directly between bank deposits. Explain what represents money in a modern economy and how the use of contactless payments without the use of cash will affect the functions of money.</t>
  </si>
  <si>
    <t xml:space="preserve">For knowledge and understanding of what represents money in a modern economy: narrow measure/ cash (1 mark) and broad measure/ bank deposits/ savings (1 mark) up to 2 marks
For application to explain how contactless payments may be included within in the definition of money e.g. it is just another method of moving bank deposits and / or replaces cash in exchange for goods / services (1) and relies on e.g. mobile phone technology / apps /use of debit / credit cards without use of a personal identification number (PIN) (1) up to 2 marks
For further application of how this affects the functions of a minimum of two functions of money (maximum of 3 marks per function discussed). up to 4 marks
Guidance: Money is made up of cash and the deposits of various types in financial institutions. Whether these deposits can fulfil all of the functions of money depends upon the extent of the liquidity of the deposit. Candidates need to identify at least two of the functions of money from means of exchange, store of value, unit of account and standard of deferred payment. The application must discuss whether or not the functions are affected by the use of contactless payments and why. For example, the means of exchange function may be affected by access to technology, the store of value function may be affected if people need to keep more money on deposit, the standard of deferred payments function may be affected by credit cards and the use of bank overdrafts. Accept any reasonably well-argued response.</t>
  </si>
  <si>
    <t xml:space="preserve">Money and its functions: not in the 2023+ AS syllabus (now A Level).</t>
  </si>
  <si>
    <t xml:space="preserve">This was both the least popular question and tended to be weakly answered and/or answered in a very general way. Clear knowledge and understanding of both the broad and narrow definitions of money as in the syllabus were extremely rare and although most candidates had some idea of what contactless payments are, the understanding was often superficial. Application to the functions of money rarely went beyond a limited understanding of what the four functions actually are, and these were often confused with the characteristics of money. Better answers tended to focus on the impact on the means of exchange and the store of value as the former would be affected mainly by the acceptability and availability of technology whereas the latter would be affected by the need to store money in bank deposits to facilitate the exchange. Simple answers e.g., there would be no effect were not credited without a reasonable explanation.</t>
  </si>
  <si>
    <t xml:space="preserve">9708_w22_22_Q2b</t>
  </si>
  <si>
    <t xml:space="preserve">5.3.3, 5.3.4, 4.6.1</t>
  </si>
  <si>
    <t xml:space="preserve">expansionary monetary policy, deflation, interest rates</t>
  </si>
  <si>
    <t xml:space="preserve">Discuss whether an expansionary monetary policy will be successful in correcting deflation.</t>
  </si>
  <si>
    <t xml:space="preserve">For analysis of how expansionary monetary policy may be used to stimulate the components of aggregate demand to correct deflation / increase the price level. N.B if only one component of AD is addressed then maximum mark of 3 (Up to 4 marks)
For analysis of the reasons why expansionary monetary policy may not be successful in correcting deflation / increasing the price level. N.B if only one reason is explained then maximum mark of 3 (Up to 4 marks)
For evaluation that clearly considers whether or not expansionary monetary policy will be successful in correcting deflation by taking into account how it may be used and the circumstances in which it may not be successful (up to 3 marks) that leads to a reasoned conclusion on whether such a policy is likely to be successful (1 mark) (Up to 4 marks)
Guidance: Candidates need to refer to appropriate expansionary monetary policies such as reducing the rate of interest, increasing the money supply and may also refer to a devaluation of the exchange rate. The impact on any one or more components of aggregate demand should also be referred to. Problems may include a lack of consumer and business confidence, the overall situation of the economy including the existing level of interest rates etc.
Evaluation could take into account the PED of exports and imports. There are no KU marks awarded in part (b) for merely explaining / defining terms or phrases within the question.</t>
  </si>
  <si>
    <t xml:space="preserve">9708_s21_21_Q4b (58%), 9708_s22_23_Q3b (66%), 9708_s23_21_Q4b (58%)</t>
  </si>
  <si>
    <t xml:space="preserve">Most candidates had a reasonable knowledge and understanding of monetary policy although there was occasional confusion with fiscal policy. Also, the question did not require a discussion of alternative policies so the introduction of a discussion of e.g., supply side policy was irrelevant and not credited even in evaluation. Some part b essay questions do require alternatives to be discussed e.g., this question may have asked candidates whether monetary policy was likely to be the most successful policy, but this requires careful reading of the question. Candidates also need to be reminded that knowledge and understanding is not credited in part b essay questions. Answers need to be analytical and therefore require explanations e.g., in this question a knowledge and understanding of what is meant by monetary policy is essential but the impact on AD and more crucially the price level (needing to increase to cure deflation) gains the credit. Sadly, the link between monetary policy and AD (and also AS) was often made but the development showing the impact on the price level was often either weak or missing meaning marks were quite low. Likewise, evaluation requires an assessment of both sides of the analysis to be relevant and must clearly address/answer the question, but this was rarely evident. The best answers always had clear explanations of points made together with an assessment of the shortcomings of the policy leading to a balanced evaluation.</t>
  </si>
  <si>
    <t xml:space="preserve">9708_w22_22_Q3a</t>
  </si>
  <si>
    <t xml:space="preserve">1.5.1, 1.1.1, 1.1.3</t>
  </si>
  <si>
    <t xml:space="preserve">PPC, scarcity, choice, opportunity cost</t>
  </si>
  <si>
    <t xml:space="preserve">Explain how a production possibility curve can be used to demonstrate scarcity, choice and opportunity cost.</t>
  </si>
  <si>
    <t xml:space="preserve">For knowledge and understanding of a production possibility curve (Up to 2 marks)
e.g. a curve that shows the maximum level of output that an economy can achieve (1) given its current level of resources / technology (1)
For application that demonstrates a clear understanding of what is meant by scarcity (1) and explains how this would be shown on a PPC (1)
For application that demonstrates a clear understanding of what is meant by choice (1) and explains how this would be shown on a PPC (1)
For application that demonstrates a clear understanding of what is meant by opportunity cost (1) and explains how this would be shown on a PPC (1)
Guidance: Candidates are likely to provide a diagram although this is not essential if it is clear that the basis of a PPC is understood. If a diagram is used to demonstrate knowledge and understanding without an accompanying explanation then this is acceptable BUT it must be correctly labelled as 2 different goods (i.e., not X and Y or P and Q) and the curve itself must touch both axes for both marks. Scarcity is shown through the PPC as a production frontier and not a position outside the curve. Choice must be shown as a movement along the curve. Opportunity cost is shown as the next best alternative foregone as one product is sacrificed to produce the alternative. A diagram may be used to demonstrate scarcity, choice and opportunity cost but must be accompanied by appropriate explanation to gain marks. However, a diagram is not essential. The application for scarcity, choice and opportunity cost must be clearly separated.</t>
  </si>
  <si>
    <t xml:space="preserve">9708_w21_22_Q2a (57%)</t>
  </si>
  <si>
    <t xml:space="preserve">The question required candidates to use a production possibility curve to explain and demonstrate the concepts of scarcity, choice, and opportunity cost. A diagram was not required but one was often produced and generally, these were accurate although labelling remains a problem for some candidates e.g., using P and Q. This was a very popular question and marks were generally extremely pleasing. Most candidates were able to demonstrate knowledge and understanding of the concept of a PPC, mainly through an accurate diagram and the concepts of scarcity, choice, and opportunity cost. The main errors occurred with candidates who attempted to explain them through the perspective of an individual firm or household. Application to the PPC was often less convincing – the question asked for the three concepts to be demonstrated through the curve. The reasons were principally because many candidates adopted an ‘all I know about the PPC’ approach which led to the reproduction of diagrams showing positions within the curve, outside the curve and on the curve but without clear application to the question. Of the three, opportunity cost was often best demonstrated but choice was rarely referred to as a movement along the curve and was frequently just linked to opportunity cost. Scarcity was also often demonstrated in a vague way as being outside the curve instead of simply explaining that the extent and presence of the curve itself represented the scarce resources available to an economy. Consequently, a mark of 6/8 was a common score.</t>
  </si>
  <si>
    <t xml:space="preserve">9708_w22_22_Q3b</t>
  </si>
  <si>
    <t xml:space="preserve">5.4.3, 5.4.4</t>
  </si>
  <si>
    <t xml:space="preserve">supply-side policy, productive capacity, time lags, cost</t>
  </si>
  <si>
    <t xml:space="preserve">Discuss the difficulties that might be encountered when adopting supply side policies to expand the productive capacity of an economy and consider whether these difficulties can be overcome.</t>
  </si>
  <si>
    <t xml:space="preserve">For an analysis of how supply side policies may be used to expand the productive capacity of an economy and the difficulties encountered in adopting them. N.B. if only one policy and one difficulty is discussed then maximum of 3 marks. (up to 4 marks)
For an analysis of possible methods of overcoming these difficulties in adopting supply side policies to expand the productive capacity of an economy N.B. if only one method is discussed then maximum of 3 marks. (up to 4 marks)
For an evaluation of the likely success of adopting supply side policies to expand the productive capacity of an economy taking into account the difficulties encountered (up to 3 marks) that leads to a reasoned conclusion (1 mark) (up to 4 marks)
Guidance: Candidates need to show good understanding of a range of supply side policies that may expand the productive capacity of an economy and specifically, they should be aware of the difficulties associated with such policies including the cost and the potentially long time period before they come into effect. It is essential that candidates consider whether these difficulties can be overcome. For example, in developing economies there may be a shortage of funds that might be overcome through inward investment from abroad. There are no KU marks awarded in part (b) for merely explaining / defining terms or phrases within the question.</t>
  </si>
  <si>
    <t xml:space="preserve">This question produced a great number of one-sided answers that examined the difficulties in adopting supply side policies but were unable to analyse possible ways of overcoming them. Also, some candidates suggested that policies adopted by individual firms e.g., training, were examples of supply side policy. This may be so if encouraged by government, e.g., via grants or subsidies, but this would need to be clearly explained by the candidate. Also, simple knowledge and understanding of supply side policy in general needed to be explained in the context of expanding the productive capacity of the whole economy to receive any credit and furthermore developed to explain the difficulties of doing so. The discussion then needed to focus on how these particular difficulties could be overcome and many candidates simply either ignored this or discussed alternative policies which were irrelevant in this context unless it was clear how this would overcome the specific difficulties of the supply side policies highlighted. This meant evaluation was not possible and led to many marks of 4 maximum.</t>
  </si>
  <si>
    <t xml:space="preserve">9708_w22_22_Q4a</t>
  </si>
  <si>
    <t xml:space="preserve">;6.4;4.6;</t>
  </si>
  <si>
    <t xml:space="preserve">6.4.4, 6.4.3</t>
  </si>
  <si>
    <t xml:space="preserve">floating exchange rate, relative inflation, depreciation</t>
  </si>
  <si>
    <t xml:space="preserve">An economy adopts a freely floating exchange rate. Explain how this economy’s exchange rate is likely to be affected when its inflation rate is much higher than inflation rates in its trading partners.</t>
  </si>
  <si>
    <t xml:space="preserve">For knowledge and understanding of the meaning an exchange rate i.e., the price of one currency in terms of another currency (1) and of a freely floating exchange rate i.e. it is determined by market forces of demand and supply for the currency (1), is not fixed by the government (1). (Maximum of 2 marks)
For application that explains the effect of the lower overseas inflation rates as a rise in demand for imports (1) which will increase the supply of the domestic currency (1 ) and will lead to a fall / depreciation in the exchange rate (1) (Up to 3 marks)
For application that explains the effect of the lower overseas inflation rates as a fall in demand for exports (1) which will reduce the demand for the domestic currency (1) and will also lead to a fall/ depreciation in the exchange rate (1). (Up to 3 marks)
Guidance: Candidates need to demonstrate knowledge of the impact of varying inflation on exports and imports and the effect on the foreign exchange market. Allow the first KU mark if the answer gives an example of the price of one currency quoted against another one</t>
  </si>
  <si>
    <t xml:space="preserve">This was the second most popular question after Question 3 and was generally well answered. Most candidates were able to define a floating exchange rate and the meaning of an exchange rate although the latter was often vaguely expressed. The most common problem was simply to refer to an exchange rate as one currency compared to another and omit any reference to their price or value. Application was generally sound although occasionally over-elaborated and developing into unnecessary evaluation. In a floating exchange rate, the value is determined by the demand and supply of the currency as most candidates recognised. Applying this knowledge was not always fully successful in the context of the question as the most likely scenario would be that the demand for exports and therefore demand for the currency would fall accompanied by an increased demand for imports and hence an increased supply of the domestic currency. Mostly this was clear but occasionally either the demand or supply factor (normally the latter) was ignored. The other main omission was the development from a fall in demand/increase in supply on the value of the currency. However, overall, most candidates did achieve a mark of 7 or 8 out of 8.</t>
  </si>
  <si>
    <t xml:space="preserve">9708_w22_22_Q4b</t>
  </si>
  <si>
    <t xml:space="preserve">terms of trade, export prices, competitiveness</t>
  </si>
  <si>
    <t xml:space="preserve">Discuss the advantages and disadvantages that result from a rise in an economy’s terms of trade and consider whether a rise is likely to be of overall benefit to an economy.</t>
  </si>
  <si>
    <t xml:space="preserve">For analysis that explains the advantages of a rise in the terms of trade N.B if only one advantage is discussed then maximum mark of 3 (Up to 4 marks)
For analysis that explains the disadvantages of a rise in the terms of trade N.B. if only one disadvantage is discussed then maximum mark of 3 (Up to 4 marks)
For evaluative comment on whether the advantages are likely to overcome the disadvantages and be of overall benefit to an economy (Up to 3 marks)
that leads to a reasoned conclusion on whether the rise is likely to be of overall benefit. (1 mark).
Guidance: Candidates will need to provide sound analysis of the impact of a rise in the terms of trade. Advantages include the fall in the relative price of imports means that the standard of living will rise. Also, the lower price of imports mean that imported raw materials will fall in price and this will result in lower input costs. Disadvantages include a loss of competitiveness in international trade that might lead to unemployment in the domestic economy both from a fall in the demand for exports but also as a result in the increased demand for imports. Evaluative comment might refer to the significance of elasticities in determining the outcome. If the candidate is clearly confusing the terms of trade with the balance of trade or the budget balance throughout the answer, then 0 marks must be awarded. There are no KU marks awarded in part (b) for merely explaining / defining terms or phrases within the question.</t>
  </si>
  <si>
    <t xml:space="preserve">Historically, questions about the terms of trade have not always been answered well. The main reason has been a confusion between balance of trade and terms of trade. Pleasingly, this only affected a relatively small number of scripts. The main cause of low marks was a tendency to rely on definitions and assertions which are not valid analysis without explanations and application to the question. However, there were some very good answers that clearly explained both the advantages and disadvantages with due regard to the price elasticity of demand for both imports and exports. Evaluation does remain less convincing though and candidates do need to be reminded of the need to answer the question and form a balanced judgement regarding whether the advantages are likely (or not) to overcome the disadvantages.</t>
  </si>
  <si>
    <t xml:space="preserve">9708_w22_23_Q1a</t>
  </si>
  <si>
    <t xml:space="preserve">opportunity cost, subsidy, government spending</t>
  </si>
  <si>
    <t xml:space="preserve">Pakistan – agricultural subsidies</t>
  </si>
  <si>
    <t xml:space="preserve">Explain what might be the opportunity cost if the Pakistan government agreed to pay subsidies to Pakistan’s farmers comparable to those paid to India’s farmers.</t>
  </si>
  <si>
    <t xml:space="preserve">• Opportunity cost is the cost in terms of the best alternative that is forgone (1 mark)
• The decision to increase subsidies means that other areas of government funding with a specific example will have less spending allocated to them (1 mark)
Guidance: Other areas of government funding may include healthcare, education, infrastructure etc.
Accept any valid example
Accept answers that merge the explanation of opportunity cost with an appropriate example for 2 marks.</t>
  </si>
  <si>
    <t xml:space="preserve">The main concern here was a lack of clarity as to what is meant by the term opportunity cost. Most candidates were able to identify a relevant opportunity cost but frequently, this occurred after a lengthy, almost irrelevant discussion about costs in general that gained 1 mark maximum. Better answers were relatively short, focused on a concise understanding of what the term means together with a relevant example. Two-mark answers do not require the length of answer often seen to this question.</t>
  </si>
  <si>
    <t xml:space="preserve">9708_w22_23_Q1bi</t>
  </si>
  <si>
    <t xml:space="preserve">3.2.2</t>
  </si>
  <si>
    <t xml:space="preserve">subsidy, data interpretation</t>
  </si>
  <si>
    <t xml:space="preserve">With reference to Table 1.1, state in which product group Pakistan’s farmers are most disadvantaged.</t>
  </si>
  <si>
    <t xml:space="preserve">Maize (1 mark)
Guidance: Maize has the greatest relative cost difference (2.24 although this measure is not required.) Do not accept any other product group.</t>
  </si>
  <si>
    <t xml:space="preserve">Many candidates simply calculated the absolute cost difference which led to an answer of sugar cane. However, the question focused on which product group most disadvantaged Pakistan’s farmers and consequently, candidates needed to work out the relative cost difference between the products leading to the correct answer of maize. Correct responses numbered around 50 per cent of those attempting this question.</t>
  </si>
  <si>
    <t xml:space="preserve">9708_w22_23_Q1bii</t>
  </si>
  <si>
    <t xml:space="preserve">;3.2;6.1;</t>
  </si>
  <si>
    <t xml:space="preserve">3.2.2, 6.1.1</t>
  </si>
  <si>
    <t xml:space="preserve">subsidy, international competitiveness, exports</t>
  </si>
  <si>
    <t xml:space="preserve">Explain how the lower level of subsidy currently paid to Pakistan’s farmers is likely to affect Pakistan’s trade in agricultural goods when competing with India in international markets.</t>
  </si>
  <si>
    <t xml:space="preserve">It is likely to make exports of Pakistan’s agricultural products less price competitive / imports of India’s agricultural products more price competitive (1) and the resulting reduction in exports (1) and increasing imports (1) is likely to lead to a (increased) deficit in Pakistan’s trade in agricultural goods (1)
Up to a maximum of 3 marks
Guidance: Responses may consider the following points within the explanation:
• Pakistan is already at a cost disadvantage when trading with India
• Pakistan’s agricultural exports are likely to be less competitive than similar exports from
India
• Lower subsidies exaggerate the cost differences
• Could mean that imports of staple foods from
India increase
• Other countries will buy more goods from
India due to cost difference</t>
  </si>
  <si>
    <t xml:space="preserve">This question asked candidates to focus on the impact on Pakistan’s trade in agricultural goods and this required an assessment of the impact on this particular section of the current account. Sadly, most candidates only focused on the impact of subsidies on India and/or the derived lack of competitiveness of Pakistan’s agricultural goods and thus gained a maximum of 1 mark. Very few developed this further to explain the probable fall in Pakistan’s exports of such goods or the impact on its imports. The likelihood of a deficit in the trade balance of such goods was hardly ever referred to. Candidates need to be reminded of the need to both explain and develop answers to the question set and also to avoid assertions.</t>
  </si>
  <si>
    <t xml:space="preserve">9708_w22_23_Q1c</t>
  </si>
  <si>
    <t xml:space="preserve">indirect tax, supply shift, PED</t>
  </si>
  <si>
    <t xml:space="preserve">Analyse, with the help of a diagram, how the sales tax on fertilisers affects the market for fertilisers in Pakistan.</t>
  </si>
  <si>
    <t xml:space="preserve">For an accurate diagram that uses an accurately labelled D and S diagram to show a shift in the supply curve (1 mark) and the increase in price and reduction in quantity (1 mark)
For an explanation that the fall in demand will depend upon the PED for fertilisers and /or the size of the sales tax. (Up to 2 marks)
Guidance: A sales tax increases the price of fertilisers to farmers in Pakistan. This can be shown by a shift to the left of the supply curve. The effect on the market is likely to depend upon the PED for fertilisers and the size of the sales tax.</t>
  </si>
  <si>
    <t xml:space="preserve">Most candidates were able to draw an appropriate and accurate diagram to show the impact of the sales tax on price and quantity. However, some candidates continue to make basic errors, e.g., incorrect labels, confusing supply, and demand, shifting the supply curve to the right as if for a subsidy etc. A minority simply did not know what the diagram should look like at all which suggests a lack of preparation. Sadly, the lack of development to explain the significance of elasticities or even the size of the sales tax itself was quite common and answers simply described the diagram rather than analyse the possible effects on the market. This led in most cases to a mark of 2 maximum. Again, where a diagram is used, candidates should not simply describe it if analysis or discussion is required as this would mean that further development is needed, as in this case for a mark of 4.</t>
  </si>
  <si>
    <t xml:space="preserve">9708_w22_23_Q1d</t>
  </si>
  <si>
    <t xml:space="preserve">3.2.3, 3.2.5</t>
  </si>
  <si>
    <t xml:space="preserve">government intervention, buffer stock, minimum price, direct provision</t>
  </si>
  <si>
    <t xml:space="preserve">Explain two other ways, apart from subsidies and reductions in sales tax, in which the government might support Pakistan’s farmers.</t>
  </si>
  <si>
    <t xml:space="preserve">Identification of an additional way (1 mark) plus an explanation of how this will support farmers (1 mark)
Up to 2 marks per identified way  2
Guidance: Various possibilities include:
• A minimum price for a given crop
• Income support through transfer payments
• Advice on how to cut costs and improve crop yields
• Cheap finance to buy better quality seed
• Policy of protectionism (N.B. do not accept 2 policies of protection as 2 separate ways)
• Education and training</t>
  </si>
  <si>
    <t xml:space="preserve">Most candidates were able to identify two ways and gain 2 marks. However, problems included the selection of two types of protectionism which only counted as one distinct way and therefore one mark and variations on subsidies/grants being offered which were not really following the requirement of the question. The main issue was once again the lack of developed explanation (as opposed to assertion) showing why these methods would aim to support Pakistan’s farmers. Candidates need to explain, in this case, exactly how these measures would support/assist the farmers and often this was vague or a simple statement which could not be rewarded for the extra mark/s.</t>
  </si>
  <si>
    <t xml:space="preserve">9708_w22_23_Q1e</t>
  </si>
  <si>
    <t xml:space="preserve">;6.1;3.2;1.1;</t>
  </si>
  <si>
    <t xml:space="preserve">6.1.1, 6.1.4, 3.2.2</t>
  </si>
  <si>
    <t xml:space="preserve">comparative advantage, opportunity cost, agricultural subsidies</t>
  </si>
  <si>
    <t xml:space="preserve">Discuss whether agricultural subsidies should not be paid to farmers in countries which have lower opportunity costs in other areas of production.</t>
  </si>
  <si>
    <t xml:space="preserve">For an explanation of the benefits of paying agricultural subsidies to farmers (up to 3 marks)
For an evaluation of whether agricultural subsidies should be paid to farmers if the country already has lower opportunity costs in other industries. (Up to 3 marks with 1 mark reserved for a conclusion)
Guidance: The answer should consider the benefits of subsidies to farmers in terms of increasing their incomes and benefits to the economy in terms of reducing import dependence and keeping the prices of staple goods affordable. The evaluation should consider these benefits in countries that have lower opportunity costs in other areas of production e.g., may be an unnecessary burden on government expenditure, may invite retaliation, may restrict trade etc.</t>
  </si>
  <si>
    <t xml:space="preserve">This question appeared to confuse most candidates. Many interpreted it as being a comparison between different countries, principally between India and Pakistan, and so focused on a discussion of the benefits and drawbacks of free trade. Some candidates focused on costs of production rather than opportunity costs. The question in fact concerned a discussion as the whether any country who had lower opportunity costs in any other area of production should still pay subsidies to their farmers with higher opportunity costs. Consequently, answers were often weak and at best simply focused on the possible importance of farming for employment and in maintaining a possibly strategically important industry rather that the downsides. Better answers did discuss the importance of comparative advantage, but such answers were rare and tended to compare different countries as referred to above. As a result, marks were generally very low and evaluation almost non-existent. Section B Essays</t>
  </si>
  <si>
    <t xml:space="preserve">9708_w22_23_Q2a</t>
  </si>
  <si>
    <t xml:space="preserve">;1.6;3.1;</t>
  </si>
  <si>
    <t xml:space="preserve">1.6.3, 1.6.4, 3.1.2</t>
  </si>
  <si>
    <t xml:space="preserve">merit goods, demerit goods, information failure</t>
  </si>
  <si>
    <t xml:space="preserve">Explain why demerit goods are over-consumed and merit goods are under-consumed.</t>
  </si>
  <si>
    <t xml:space="preserve">For knowledge and understanding of the difference between demerit goods and merit goods e.g., demerit goods are those that are thought to be undesirable for consumers / worse for them than they realise (1) and merit goods are those that are thought to be desirable for consumers / better for them than they realise (1)
For application that explains that demerit goods are often overconsumed because of imperfect information (1) giving an example (1) with further development e.g., also because of low income, poor education, low prices of demerit goods, addiction (1)
For application that merit goods are often underconsumed because of imperfect information (1) giving an example (1) with further development e.g., also because of low income / high prices of merit goods (1)
Guidance: Demerit goods are over-consumed because of imperfect information on the part of those who consume them. They are not aware of the risks to health of over consumption. The positive side effects of consuming merit goods are not appreciated by all consumers due to imperfect information. We cannot expect any discussion regarding costs and benefits including externalities, private costs and benefits, social costs and benefits as these are not on the AS syllabus but these may be rewarded if included.</t>
  </si>
  <si>
    <t xml:space="preserve">This was a fairly straightforward question that was very popular with candidates. The main reason why such goods are over and under consumed are a result of information failure and the perceived desirability of consuming them. Better answers were distinguished by a clarity of language in terms of economics and clear explanation. However, economic language and explanation were occasionally very vague, and this was reflected in the lower marks obtained. It is far better to explain as fully and clearly as possible in economic terms where possible.</t>
  </si>
  <si>
    <t xml:space="preserve">9708_w22_23_Q2b</t>
  </si>
  <si>
    <t xml:space="preserve">maximum price, consumers, shortages, informal market</t>
  </si>
  <si>
    <t xml:space="preserve">Discuss the extent to which the introduction of a maximum price in a market will benefit consumers.</t>
  </si>
  <si>
    <t xml:space="preserve">For analysis of how the introduction of a maximum price in a market may benefit consumers. (Up to 4 marks)
For analysis of how the introduction of a maximum price in a market may not be of benefit to consumers. (Up to 4 marks)
For evaluation that clearly considers the extent to which consumers may benefit from the introduction of a maximum price in a market (up to 3 marks) that leads to a reasoned conclusion (1 mark)
Guidance: The purpose of maximum price legislation is to ensure that consumers get access to supplies of essential products such as various types of food and in some cases, water and power supplies. It may also free up income to purchase other essential items. To be effective the maximum price must be below the equilibrium price in a free market, and this may be referred to in the first part of the analysis. An accurate diagram should not be expected but would enhance the quality of the analysis. However, the problem with a maximum price is that demand invariably exceeds supply at this price. Shortages can occur and this can lead to an informal market and profiteering along with rationing and queuing. Consumers may end up paying even more than the equilibrium price to get the supplies they need.</t>
  </si>
  <si>
    <t xml:space="preserve">9708_m23_22_Q3b (64%)</t>
  </si>
  <si>
    <t xml:space="preserve">Once again better answers were differentiated by the level of explanation presented. Diagrams (unless specifically requested by the question) will not gain marks in themselves and certainly not as analysis in a part b question. Consequently, even an accurate diagram e.g., illustrating a shortage, is simply knowledge or an assertion unless the candidate explains why a shortage would probably arise. Such an approach, i.e., presenting clear explanations, provided they are accurate and relevant, will always gain more credit. However, there were some good answers although evaluation was often less well done and focused on a summary rather than answering the specific question asked.</t>
  </si>
  <si>
    <t xml:space="preserve">9708_w22_23_Q3a</t>
  </si>
  <si>
    <t xml:space="preserve">;5.2;3.3;</t>
  </si>
  <si>
    <t xml:space="preserve">5.2.4, 3.3.4</t>
  </si>
  <si>
    <t xml:space="preserve">progressive tax, regressive tax, direct tax, indirect tax</t>
  </si>
  <si>
    <t xml:space="preserve">Explain the difference between a progressive direct tax and a regressive indirect tax, with an example of each.</t>
  </si>
  <si>
    <t xml:space="preserve">For knowledge and understanding of the difference between a direct tax and an indirect tax e.g., a direct tax is a tax on income and wealth (1) and an indirect tax is a tax on the sale of/ spending on goods and services (1)
For application that provides a valid identification of a direct tax (1 mark) and explains why it may be progressive with reference to the burden of taxation as income rises (1 mark) with accurate reference to the marginal rate of taxation. (1 mark) OR the marginal rate of tax will be higher (1 mark) than the average rate of tax (1 mark)
Up to 3 marks
For application that provides a valid identification of an indirect tax (1 mark) and explains why it is considered regressive with reference to the relative burden of taxation between higher and lower income groups (1 mark) with accurate reference to the marginal rate of taxation (1 mark) OR the marginal rate of tax will be lower (1 mark)
than the average rate of tax (1 mark)
Up to 3 marks
Guidance: A direct tax is one that is paid by individuals or businesses direct to the government. It is based on an individual’s income or on the profits of a business. Examples are income tax and profits tax. An indirect tax is so-called because it is not directly collected by the government-retailers and local government agencies are the main collectors. The tax is based on the purchase of products. Examples are GST or VAT and duties charged on sales of petrol, cigarettes and alcohol. A direct tax is usually progressive, the rate of taxation increasing as income increases. Indirect taxes are regressive since they have to be paid irrespective of the income of the consumer. The marginal rate of taxation is the proportion of extra income taken in tax. This will rise with a progressive tax thus increasing the burden on higher income groups. It will fall with a regressive tax thus increasing the burden on lower income groups. The average rate of tax refers to the proportion of income taken so for a progressive tax the marginal rate of taxation will be higher than the average rate of taxation and lower for a regressive tax.</t>
  </si>
  <si>
    <t xml:space="preserve">The question asked candidates to simply explain the difference between a progressive direct tax (meaning an explanation of a proportional or regressive direct tax was irrelevant) and a regressive indirect tax with an example of each. Most candidates who attempted this had a reasonable understanding but often spent time on unnecessary detail such as e.g., government policies on redistribution etc. There was also often a lack of clarity that a direct tax was paid on income/profits etc. by the income earner whilst a regressive tax was paid on sales/spending and was passed on e.g., to the purchaser. Answers that followed this clear path, leading to a valid example of both and further elaboration regarding the burden of taxation and the relationship between the MRT and ART gained full marks. However, this precise form of answer was rare and most had a scattergun approach with too much irrelevancy and an omission of the information to fully answer the question.</t>
  </si>
  <si>
    <t xml:space="preserve">9708_w22_23_Q3b</t>
  </si>
  <si>
    <t xml:space="preserve">;5.2;5.3;4.6;</t>
  </si>
  <si>
    <t xml:space="preserve">5.2.6, 5.3.4, 4.6.4</t>
  </si>
  <si>
    <t xml:space="preserve">direct taxes, interest rates, inflation control</t>
  </si>
  <si>
    <t xml:space="preserve">Discuss whether an increase in direct taxes or an increase in interest rates is the more effective way of reducing inflation.</t>
  </si>
  <si>
    <t xml:space="preserve">For an analysis of the advantages and disadvantages of increasing direct taxes to reduce inflation. N.B if only advantages or disadvantages are considered then maximum mark of 3. Up to 4 marks
For an analysis of the advantages and disadvantages of increasing interest rates to reduce inflation. N.B if only advantages or disadvantages are considered then maximum mark of 3. Up to 4 marks
For an evaluation of which may be the more effective way of reducing inflation (up to 3 marks) that leads to a reasoned conclusion (1 mark)
An increase in direct taxes is likely to lead to a fall in AD and therefore inflation due to a fall in consumption and investment. It is likely to be easy to implement and may be seen as fair if the tax is progressive as the burden will fall more on higher income groups. However, it may reduce incentives and lead to lower economic growth. An increase in interest rates should lead to an increase in savings and a fall in consumption and investment due to the increase in borrowing. The effects are likely to be quicker than an increase in direct taxes due to the speed of implementation. However, it may have similar consequences to an increase in direct taxes and it may be ineffective if interest rates are already very low, or confidence levels remain high. Both evaluation and analysis may make reference to the fact that effectiveness of both methods depends on the type of inflation i,e., if it is cost- push rather than demand -pull, they may be ineffective..</t>
  </si>
  <si>
    <t xml:space="preserve">Once again, the main weakness with many responses was a lack of explanation. For example, most candidates suggested that by lowering AD, e.g., by raising direct taxes, inflation would fall. The process through which this might happen was often asserted rather than explained i.e., through the interaction of AD and AS which led to little, or no credit given. Some good answers were in evidence but again, the focus of the question was not always clear. Alternative policies were irrelevant as the question required an assessment of which policy between the identified two was likely to be the most effective in reducing inflation. Consequently, evaluation was often weak.</t>
  </si>
  <si>
    <t xml:space="preserve">9708_w22_23_Q4a</t>
  </si>
  <si>
    <t xml:space="preserve">;6.1;6.4;4.6;</t>
  </si>
  <si>
    <t xml:space="preserve">6.1.3, 6.4.5</t>
  </si>
  <si>
    <t xml:space="preserve">terms of trade, relative inflation, depreciation</t>
  </si>
  <si>
    <t xml:space="preserve">Explain how a higher rate of inflation in an economy compared to its trading partners and a decline in the exchange rate will each affect the terms of trade in an economy.</t>
  </si>
  <si>
    <t xml:space="preserve">For knowledge and understanding of what is meant by terms of trade i.e., it is a measure of the ratio of export to import prices (1) plus an accurate formula showing index of export prices / index of import prices (1).
For application that explains the effect of a higher rate of inflation compared to trading partners on the terms of trade of an economy. It will increase the relative price of exports (1) and reduce the relative price of imports (1) therefore leading to an improvement of the terms of trade (1) (Up to 3 marks)
For application that explains the effect of a decline in its exchange rate will affect the terms of trade in an economy. It will reduce the relative price of exports (1) and increase the relative price of imports (1) and lead to a deterioration in the terms of trade (1) (Up to 3 marks)
Guidance: Terms of trade is a measure of the relationship between export prices and import prices in an economy. By definition, a favourable movement or improvement is when export prices increase relative to a change in import prices. Import prices could fall while export prices remain unchanged. A higher rate of inflation compared to that in trading partners will result in an increase in export prices and an improvement in the terms of trade. A decline in the exchange rate results in a relative fall in export prices compared to trading partners. Terms of trade deteriorates.</t>
  </si>
  <si>
    <t xml:space="preserve">Meaningful assessment of candidate performance on this question is very difficult as it was attempted by only a few. The terms of trade topic does seem to be relatively inaccessible to many candidates and of the few who attempted to answer this question, there was the usual confusion with Balance of Trade despite on occasions a correct formula being presented. On occasions, the application was accurate regarding the significance of inflation rates but when analysing the impact of a decline in the exchange rate, confusion was obvious by discussions around elasticities, MLC, J curve etc. which affect BOT not TOT. Full marks were rare for what should have been a fairly straightforward question.</t>
  </si>
  <si>
    <t xml:space="preserve">9708_w22_23_Q4b</t>
  </si>
  <si>
    <t xml:space="preserve">tariffs, trade war, winners and losers, retaliation</t>
  </si>
  <si>
    <t xml:space="preserve">Since 2018, China and the United States (US) have been imposing tariffs on trade with each other. Discuss the view that some will benefit and some will lose but the overall impact of these tariffs will be negative.</t>
  </si>
  <si>
    <t xml:space="preserve">For analysis that explains the benefits of imposing tariffs N.B if only one benefit is considered then maximum mark of 3. Up to 4 marks
For analysis that explains the costs of imposing tariffs N.B. if only one cost is explained then maximum mark of 3. Up to 4 marks
For evaluation that considers the costs and benefits and assess whether the overall impact will be negative (up to 3 marks) leading to a reasoned conclusion (1 mark)
Guidance: Protection occurs where a government protects its domestic producers from external competition through measures such as tariffs. These measures distort the market and do not lead to an efficient allocation of resources. Benefits: protecting employment, infant industry argument, sunset industries argument, reducing deficit on current account of the balance of payments. Costs: higher prices for consumers, less choice, protects inefficient firms and industries.
Evaluation may make a comparison with the benefits of free trade.</t>
  </si>
  <si>
    <t xml:space="preserve">Most candidates recognised that the answer needed to focus on the benefits and drawbacks of imposing tariffs. As ever, the importance of clear explanation was vital in obtaining higher analysis marks. Also, the use of (predominately) the diagram showing the impact of tariffs, must be explained to gain credit. Marks were generally depressed as a result of a lack of explanations throughout and consequently valid evaluation was rare.</t>
  </si>
  <si>
    <t xml:space="preserve">9708_m23_22_Q1a</t>
  </si>
  <si>
    <t xml:space="preserve">inflation trend, data comparison</t>
  </si>
  <si>
    <t xml:space="preserve">USA – rising inflation and stimulus</t>
  </si>
  <si>
    <t xml:space="preserve">Using Fig. 1.1, compare the US inflation rate between July and December 2020 with that between January and June 2021.</t>
  </si>
  <si>
    <t xml:space="preserve">• During the period between July 2020 and December 2020, the trend has been slowly upward / relatively stable / had minor fluctuations / from 1.0% to 1.4% (1)
• From January 2021 to June 2021 the trend has been more rapidly upward / from 1.4% to 5.4%. (1)
Note: 2nd mark should only be awarded if there is some KU that the rate of change is greater in the second period.
Guidance: The trend in the two periods needs to be compared, not every change from one month to the next.</t>
  </si>
  <si>
    <t xml:space="preserve">9708_s22_22_Q1ai (60%)</t>
  </si>
  <si>
    <t xml:space="preserve">This question asked candidates to compare inflation rates between two time periods. Overall, this was answered well although too much time was often spent describing every fluctuation and occasionally the causes. This was unnecessary and cost valuable time and, occasionally, failed to answer the question, i.e. a comparison of the two time periods.</t>
  </si>
  <si>
    <t xml:space="preserve">9708_m23_22_Q1b</t>
  </si>
  <si>
    <t xml:space="preserve">5.2.6, 5.2.7</t>
  </si>
  <si>
    <t xml:space="preserve">expansionary fiscal policy, stimulus package</t>
  </si>
  <si>
    <t xml:space="preserve">Using the information provided, explain what is meant by ‘the US government’s economic stimulus package’.</t>
  </si>
  <si>
    <t xml:space="preserve">• An economic stimulus package is an example of expansionary fiscal policy / demand management policy / the aim of which is to increase aggregate demand (1)
• The package involved the spending by the US government of an additional US$6 trillion in 2020–2021/this involved a deficit budget balance of minus 12.7% of GDP in mid-2021. (1)
Guidance: Accurate reference to the data is required for the second mark.</t>
  </si>
  <si>
    <t xml:space="preserve">Some candidates resorted to copying out parts of the data without referring to the fact that the package represented expansionary fiscal or AD policy. Also, candidates need to be reminded that Question 1 is data response and it is likely that some accurate reference to the data is required. Both aspects of the answer were often missing or contained only copied out details of the package itself meaning that many candidates failed to gain a mark.</t>
  </si>
  <si>
    <t xml:space="preserve">9708_m23_22_Q1c</t>
  </si>
  <si>
    <t xml:space="preserve">interest rates, contractionary monetary policy, aggregate demand</t>
  </si>
  <si>
    <t xml:space="preserve">Consider the extent to which an increase in interest rates could reduce the rate of inflation in the US.</t>
  </si>
  <si>
    <t xml:space="preserve">• An increase in interest rates will increase the cost of borrowing / or increase the incentive to save / or lead to an increase in the exchange rate (1)
• This is likely to lead to a fall in C and I / X-M because of the fall in spending /reduction in exports / rise in imports (1)
• Appreciation of the exchange rate may reduce the extent of import cost- push inflation (1)
• Overall fall in AD is likely to lead to a fall in the rate of inflation (1)
Max 3 marks
Evaluation
• The demand for borrowing funds may not be interest elastic/consumer and business confidence may remain high (1)
• The contribution to a reduction in the rate of inflation will largely depend on the degree to which it is demand-pull inflation. (1)
• There are other factors contributing to the rise in inflation from the cost side, such as the increase in the cost of shipping goods. (1)
Max 1 mark</t>
  </si>
  <si>
    <t xml:space="preserve">9708_w25_24_Q1e (60%)</t>
  </si>
  <si>
    <t xml:space="preserve">Most candidates recognised the fact that an increase in interest rates would reduce AD and therefore inflationary pressure. However, the full chain of reasoning was often lacking in that the reason was often omitted i.e., the fact that the interest rate increase made the cost of borrowing more expensive and the return on savings higher meant that C + I would tend to fall. This meant that marks were often restricted to 2. Although there were some very good answers, evaluation was not evident in most cases. Better responses alluded to interest rate elasticity / consumer business confidence or the fact that for cost-push inflation, such a measure may have little effect.</t>
  </si>
  <si>
    <t xml:space="preserve">9708_m23_22_Q1d</t>
  </si>
  <si>
    <t xml:space="preserve">demand-pull inflation, cost-push inflation, AD/AS</t>
  </si>
  <si>
    <t xml:space="preserve">With the help of an AD/AS diagram, assess whether the rising inflation rate in the US has been caused by changes to the demand side or changes to the supply side of the economy.</t>
  </si>
  <si>
    <t xml:space="preserve">Up to 4 marks for explanation/analysis:
• AD/AS diagram: Correct labelling of vertical axis (price level) and horizontal axis (real GDP/real output). (1) Movement of AD curve to the right and AS curve to the left, showing a rise in the price level. (1) (Up to 2 marks for the diagram)
• Explanation/analysis of how the rise in inflation may be caused by an increase in aggregate demand (1) and a decrease in aggregate supply (1). This should be correctly applied to the data. (Up to 2 marks)
Up to 2 marks for evaluation:
• Relevant evaluation which considers both AD and AS and weighs up the factors involved in each. (1)
• A justified conclusion on the extent to which inflation in the US has been caused by changes to the demand side or changes to the supply side of the economy. Note: this may include the comment that it is clearly a combination of both factors (1) but there is insufficient information within the data to fully answer which has had the greatest impact (1)
• Note: no marks are available for evaluation if ONLY AD OR AS are discussed</t>
  </si>
  <si>
    <t xml:space="preserve">The most frequent error made when answering this question was a failure to either provide a diagram or diagrams at all OR to provide diagrams that were incorrectly labelled either through the axes (should be real GDP and price level) or using S and D rather than AS and AD. However, there were some very good responses that used appropriate diagrams and reasons for the shifts drawn from the data. Evaluation seldom went beyond the fact that both AS and AD shifts played a part (if at all) but rarely offered any support for this which meant in most cases, the highest mark was 5. Accurate diagrams are a fundamental skill in economics and this needs to be emphasised.</t>
  </si>
  <si>
    <t xml:space="preserve">9708_m23_22_Q1e</t>
  </si>
  <si>
    <t xml:space="preserve">consequences of inflation, competitiveness, real incomes</t>
  </si>
  <si>
    <t xml:space="preserve">Assess the possible consequences of a rising rate of inflation for a country such as the US.</t>
  </si>
  <si>
    <t xml:space="preserve">Up to 4 marks for explanation/analysis:
• Possible negative consequences explained, such as the uncompetitiveness of exports leading to a worsening of the current account of the balance of payments, shoe leather costs arising from searching for better returns, menu costs arising from continually changing prices, planning difficulties arising from the uncertainty caused by inflation and a redistribution of income, e.g., those on fixed incomes will lose out. (Up to 2 marks)
• Possible positive consequences explained, such as an increase in borrowing arising from debt being less in real terms, an increase in the profits of firms, possibly leading to more workers being employed, and an increase in the value of assets, such as property. (Up to 2 marks)
Max 4 marks
Up to 2 marks for evaluation:
• Relevant evaluation such as in relation to the extent of the increase in inflation and whether it is higher than other countries, the price elasticity of demand for exports, whether the increase in prices is higher than the increase in the costs of production faced by firms and whether the rise in inflation is anticipated or not.
• A justified conclusion on the possible consequences, both negative and positive of a higher rate of inflation for a country such as the US.</t>
  </si>
  <si>
    <t xml:space="preserve">9708_w24_23_Q4b (55%), 9708_s25_24_Q4b (63%), 9708_w25_22_Q5b (57%)</t>
  </si>
  <si>
    <t xml:space="preserve">This question clearly demonstrated the need to explain points made rather than just list them. Many candidates still fail to explain fully the relevance to the question and in this instance, why the point made is a positive or a negative. For example, it is not enough to say that exports will increase in price as to be applied to the question it is necessary to state why this may be negative, i.e. the possible impact on the current account. Answers generally focused on negative effects rather than positives and tended to be assertive regarding the overall impact. Consequently, many candidates gained a maximum of 2 marks and even when positive impacts were correctly explained, there was a lack of suitable evaluation beyond a simple summary meaning no further credit was given.</t>
  </si>
  <si>
    <t xml:space="preserve">9708_m23_22_Q2a</t>
  </si>
  <si>
    <t xml:space="preserve">Either 2 or 3</t>
  </si>
  <si>
    <t xml:space="preserve">functions of price, rationing, signalling, incentivising, market economy</t>
  </si>
  <si>
    <t xml:space="preserve">Explain the functions of price in resource allocation and consider the importance of these functions in relation to the potential effectiveness of a market economy.</t>
  </si>
  <si>
    <t xml:space="preserve">Follow the point-based marking guidance at the top of this mark scheme and award:
• up to 3 marks for AO1 Knowledge and understanding up to 3 marks for
AO2 Analysis
• up to 2 marks for AO3 Evaluation.
AO1 Knowledge and understanding (max 3 marks)
A clear knowledge and understanding of at least two functions of price in resource allocation:
• rationing (1)
• signalling (transmission of preferences) (1)
• incentivising (1)
Two functions well explained can gain 3 marks; 1 function explained can achieve a maximum of 1 mark.
AO2 Analysis (max 3 marks)
An analysis of the importance of rationing (1), signalling (transmission of preferences) (1) and incentivising (1) to the operation of a market economy.
Note: this must be in the context of a market economy.
AO3 Evaluation (max 2 marks)
Offers a valid judgement on the importance of at least two functions in relation to the potential effectiveness of a market economy (1) to reach a justified conclusion. (1)
AO1 Knowledge and understanding: 3
AO2 Analysis: 3
AO3 Evaluation: 2</t>
  </si>
  <si>
    <t xml:space="preserve">9708_s26_24_Q3a (56%)</t>
  </si>
  <si>
    <t xml:space="preserve">This question was not well answered, and it was clear that most candidates who attempted it had a weak grasp of the understanding of the role price plays in resource allocation, i.e. the functions of rationing, signalling and transmission of preferences and providing incentives to producers. Responses were too often vague and lacking in any precision. Any relevance was often restricted to a weak understanding of the role of signalling of preferences by consumers. The fact that such roles are crucial to the effective operation of a market economy was often missed and many candidates tended to stray into a discussion about the difference between market and planned economies which was mainly irrelevant. Good answers were evident but rare.</t>
  </si>
  <si>
    <t xml:space="preserve">9708_m23_22_Q2b</t>
  </si>
  <si>
    <t xml:space="preserve">;1.4;3.1;</t>
  </si>
  <si>
    <t xml:space="preserve">1.4.1, 1.4.2, 3.1.1</t>
  </si>
  <si>
    <t xml:space="preserve">market economy, mixed economy, market failure</t>
  </si>
  <si>
    <t xml:space="preserve">Assess whether all market economies should become mixed economies.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</si>
  <si>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NO: Explanations of why market economies should remain as they are e.g., because there is no (or minimal) government intervention, decisions are taken on the basis of demand and supply, competition is encouraged and so production is more efficient, and consumers and producers act on their own self-interest.
• YES: Explanations of why market economies should become mixed economies e.g., because in a market economy there is non-provision of public goods, the under-consumption of merit goods, the over- consumption of demerit goods and the existence of markets where prices are too low, too high, or too unstable.
A one-sided response can only gain a maximum of Level 2.
AO3 Evaluation
Evaluation of whether all market economies should become mixed economies leading to a justified conclusion.
Points to consider may include whether governments should provide public goods, merit goods, reduce the provision of demerit goods, intervene in the price mechanism etc.
A one-sided response cannot gain any marks for evaluation.
Accept all valid responses.
AO1 Knowledge and understanding and AO2 Analysis: 8
AO3 Evaluation: 4</t>
  </si>
  <si>
    <t xml:space="preserve">9708_s24_21_Q2b (70%)</t>
  </si>
  <si>
    <t xml:space="preserve">Better answers were offered for part (b), and many achieved a level 2 mark for analysis. However, the same issue predominates, i.e. the large number of candidates who assert rather than explain points made, e.g. suggesting that market economies are more efficient without explaining why this may be so. There was also a tendency to discuss the advantages of planned, market and mixed economies – the former being mainly irrelevant apart from the fact that a mixed economy will include some elements of it. This suggested that some candidates had ignored the question, i.e., should market economies become mixed economies and simply written all they knew about the three economic systems. Effective evaluation was rare, and this is a skill most candidates need to acquire – they need to be able to use preceding analysis effectively to balance the respective arguments to form a balanced judgement / answer to the question that is set. Summaries / simple statements in themselves are not valid evaluation.</t>
  </si>
  <si>
    <t xml:space="preserve">9708_m23_22_Q3a</t>
  </si>
  <si>
    <t xml:space="preserve">3.3</t>
  </si>
  <si>
    <t xml:space="preserve">Addressing income and wealth inequality</t>
  </si>
  <si>
    <t xml:space="preserve">;3.3;</t>
  </si>
  <si>
    <t xml:space="preserve">3.3.3</t>
  </si>
  <si>
    <t xml:space="preserve">causes of inequality, income inequality, incentives</t>
  </si>
  <si>
    <t xml:space="preserve">Explain the possible economic reasons for inequality of income and consider whether inequality of income can benefit an economy.</t>
  </si>
  <si>
    <t xml:space="preserve">Follow the point-based marking guidance at the top of this mark scheme and award: up to 3 marks for AO1 Knowledge and understanding up to 3 marks for AO2 Analysis up to 2 marks for AO3 Evaluation.
AO1 Knowledge and understanding (max 3 marks)
A clear knowledge and understanding of at least two possible economic reasons for inequality of income, such as whether a person is in employment or unemployed (1), the skills, qualifications and experience of different workers in various occupations and economic sectors (1), whether workers are employed in the public sector or the private sector (1), whether they are employed full-time or part-time (1), the provision of transfer payments (1) and the level and type of taxation. (1) N.B. the question does not stipulate how many reasons should be referred to so two reasons well explained can gain up to 3 marks. 1 reason explained can achieve a maximum of 1 mark.
Max 3 marks
AO2 Analysis (max 3 marks)
The focus of this analysis must be on whether income inequality generates benefits to an economy or not.
Points may include:
• Incentivising workers leading to higher levels of productivity
• Encourages enterprise
• Encourages workers to retrain/reskill
• Demotivates those on the lowest incomes and an increase in crime
• Increased government spending on transfer payments leading to an opportunity cost
Max 3 marks
AO3 Evaluation (max 2 marks) Offers a valid judgement on the extent to which inequality of income can benefit an economy (1) to reach a conclusion. (1)
AO1 Knowledge and understanding: 3
AO2 Analysis: 3
AO3 Evaluation: 2</t>
  </si>
  <si>
    <t xml:space="preserve">9708_w24_23_Q3a (64%)</t>
  </si>
  <si>
    <t xml:space="preserve">A better response than for 2(a) although analysis and evaluation are still weak with the latter almost non-existent. Candidates must remember that all part (a) essay questions have 25% of the mark allocation reserved for evaluation meaning that justified conclusions are necessary. The explanation part of the question was answered better than the analysis part and many candidates were able to identify at least two reasons for inequality of income and crucially, explain them. Analysis of whether such inequality may be of benefit to an economy was often lacking and as a result the evaluation was also very weak. Better answers were able to offer reasonable analysis of benefits mainly from the motivational aspect, but negatives were often simplistic and rarely rose above the issue of fairness.</t>
  </si>
  <si>
    <t xml:space="preserve">9708_m23_22_Q3b</t>
  </si>
  <si>
    <t xml:space="preserve">minimum price, excess supply, demerit goods, producer incomes</t>
  </si>
  <si>
    <t xml:space="preserve">With the help of a diagram, assess whether the introduction of a minimum price in a market can be justified.</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</si>
  <si>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Diagram of a minimum price in a market, correctly labelled with an equilibrium price and an equilibrium quantity and showing the existence of a minimum price above what would be the case with no government intervention.
Explanation of the potential advantages and benefits of a minimum price, such as making the prices of demerit goods more expensive to discourage consumption and protecting the incomes of producers in that market.
Explanation of the potential disadvantages and limitations of a minimum price, such as the creation of excess supply and the greater likelihood of producers becoming less efficient, and of why the introduction of a minimum price might be ineffective.
Note: Omission of a diagram/inaccurate diagram can only achieve a maximum of Level 2.
A one-sided response can only gain a maximum of Level 2.
AO3 Evaluation
• Evaluation of the potential effectiveness of the introduction of a minimum price in a market.
• Evaluation may contain an assessment of alternative policies but may only be rewarded if the advantages and disadvantages of minimum pricing policy have been discussed.
• In conclusion, whether the introduction of a minimum price in a market can be justified.
A one-sided response cannot gain any marks for evaluation.
Accept all valid responses.
AO1 Knowledge and understanding and AO2 Analysis: 8
AO3 Evaluation: 4</t>
  </si>
  <si>
    <t xml:space="preserve">9708_w21_21_Q3a (57%), 9708_w22_23_Q2b (64%)</t>
  </si>
  <si>
    <t xml:space="preserve">This question asked for a diagram but many candidates omitted one. There was also a number of inaccurate and incomplete diagrams – including maximum price diagrams and also minimum price diagrams without the surplus being marked. The projected surplus is a main problem with minimum pricing but a number of candidates referred to it anyway but without any comment regarding the problems, as though its existence was learned but not understood. Aside from that, there were some strong answers that clearly analysed both sides and there was some attempted evaluation, although still mainly summative. Many candidates drew on the reasons for as being to control the use of demerit goods and protect revenues of producers and against as being surpluses and the costs of the policy itself.</t>
  </si>
  <si>
    <t xml:space="preserve">9708_m23_22_Q4a</t>
  </si>
  <si>
    <t xml:space="preserve">C</t>
  </si>
  <si>
    <t xml:space="preserve">Either 4 or 5</t>
  </si>
  <si>
    <t xml:space="preserve">4.2</t>
  </si>
  <si>
    <t xml:space="preserve">Introduction to the circular flow of income</t>
  </si>
  <si>
    <t xml:space="preserve">;4.2;</t>
  </si>
  <si>
    <t xml:space="preserve">4.2.1, 4.2.2</t>
  </si>
  <si>
    <t xml:space="preserve">circular flow, closed vs open economy, injections and leakages</t>
  </si>
  <si>
    <t xml:space="preserve">Explain the circular flow of income in a closed economy and consider the extent to which the circular flow of income changes as an economy becomes an open economy.</t>
  </si>
  <si>
    <t xml:space="preserve">Follow the point-based marking guidance at the top of this mark scheme and award: up to 3 marks for AO1 Knowledge and understanding up to 3 marks for AO2 Analysis up to 2 marks for AO3 Evaluation.
AO1 Knowledge and understanding (max 3 marks)
A clear knowledge and understanding that the circular flow of income in a closed economy involves households, firms, and the government (1) and has injections of I and G and leakages/withdrawals of S and T (1), so that equilibrium income is where I + G = S + T (1).
AO2 Analysis (max 3 marks)
An analysis of how the circular flow of income changes as an economy becomes an open economy, with the introduction of participation in the international economy (1) through the injection of X and the leakage/withdrawal of M (1), so that equilibrium income (is) (now becomes) where I + G + X = S + T + M (1).
AO3 Evaluation (max 2 marks)
Offers a valid judgement on the extent to which the circular flow of income changes as an economy becomes an open economy depending on the importance of international net trade (1) to reach a conclusion. (1)
AO1 Knowledge and understanding: 3
AO2 Analysis: 3
AO3 Evaluation: 2</t>
  </si>
  <si>
    <t xml:space="preserve">9708_s24_22_Q4a (61%), 9708_s25_21_Q4a (55%), 9708_s26_24_Q4a (61%)</t>
  </si>
  <si>
    <t xml:space="preserve">This was the least popular question and probably (along with 2(a)), the least well done. Perhaps this was due to it being a new addition to the syllabus, but it does illustrate the need for a breadth of coverage. Most candidates were unable to correctly distinguish between a closed and open economy with many suggesting (wrongly) that government was not present in a closed economy. There were also a number of unnecessary and over-elaborate diagrams which added nothing and were often unexplained. As a result, marks were very low with occasionally the only marks being given was for some understanding that an open economy now included overseas trade and that imports and exports were leakages and injections respectively. Hardly any candidates offered the formula for equilibrium and therefore were unable to offer a view on the extent to which the circular flow of income may change as the economy moves from a closed to an open economy. Clearly a topic which needs further revision.</t>
  </si>
  <si>
    <t xml:space="preserve">9708_m23_22_Q4b</t>
  </si>
  <si>
    <t xml:space="preserve">;4.4;</t>
  </si>
  <si>
    <t xml:space="preserve">4.4.5</t>
  </si>
  <si>
    <t xml:space="preserve">consequences of growth, environment, inequality, inflation</t>
  </si>
  <si>
    <t xml:space="preserve">Assess whether the consequences of economic growth for an economy are always positive.</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</si>
  <si>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The positive consequences of economic growth: an improvement in the standard of living, a reduction in the rate of unemployment, an increase in incomes, an increase in the level of aggregate demand, a possible reduction in income inequality, higher tax revenues which a government could spend on improving public services (such as education and healthcare), and an increase in business confidence leading to greater investment.
• The negative consequences of economic growth: a possible depletion of non-renewable natural resources and damage to the environment, such as through various types of pollution, an unequal sharing of the benefits of economic growth among a population leading to an increase in income inequality and a possible reduction in the quality of life of people through longer working hours and a reduction in the amount of leisure time, plus a shift towards more capital-intensive production. Answers may also refer to the dangers of inflationary pressure.
A one-sided response can only gain a maximum of Level 2.
AO3 Evaluation
Points to consider may include:
• The degree to which the potential benefits of economic growth are equally shared among a population.
• The extent to which any shift towards more capital- intensive production affects the level of unemployment
• Whether long-term economic growth brings about a short-term cost as resources are used to produce capital goods rather than consumer goods
• The extent to which the economic growth is sustainable
• Which leads to a justified conclusion on whether the consequences of economic growth for an economy are always positive
A one-sided response cannot gain any marks for evaluation.
Accept all valid responses.
AO1 Knowledge and understanding and AO2 Analysis: 8
AO3 Evaluation: 4</t>
  </si>
  <si>
    <t xml:space="preserve">9708_w23_21_Q1e (70%), 9708_m24_22_Q5b (60%), 9708_w24_21_Q4a (72%)</t>
  </si>
  <si>
    <t xml:space="preserve">In contrast this question was far better answered (which may have been the reason it was chosen) and good marks were often obtained. The main issue was a tendency to assert points rather than explain them, but this was rare, and many candidates achieved at least level 2. Some candidates went on to explain that one of the consequences of economic growth was an increase in revenue which allowed for an investment in technology to offset some of the negative effects of growth. This was an example of excellent analysis and evaluation.</t>
  </si>
  <si>
    <t xml:space="preserve">9708_m23_22_Q5a</t>
  </si>
  <si>
    <t xml:space="preserve">absolute claim (always/only/alone); diagram required</t>
  </si>
  <si>
    <t xml:space="preserve">6.4.2, 6.4.3, 6.4.5</t>
  </si>
  <si>
    <t xml:space="preserve">appreciation, floating exchange rate, export competitiveness, import prices</t>
  </si>
  <si>
    <t xml:space="preserve">With the help of a diagram, explain what is meant by an appreciation of a floating exchange rate and consider whether a country can only benefit from the appreciation of its currency.</t>
  </si>
  <si>
    <t xml:space="preserve">Follow the point-based marking guidance at the top of this mark scheme and award: up to 3 marks for AO1 Knowledge and understanding up to 3 marks for AO2 Analysis up to 2 marks for AO3 Evaluation.
AO1 Knowledge and understanding (max 3 marks) A clear knowledge and understanding of the meaning of an appreciation of an exchange rate in a floating exchange rate system i.e., the exchange rate rises according to supply and demand of the currency (1). A diagram showing an appreciation of a currency: correct labelling of the axes (the vertical axis needs to be labelled either in terms of two currencies or as exchange rate) (1) and a rise in the value of a currency by a rightward shift of the demand curve and/or a leftward shift of the supply curve with the new equilibrium price shown together with an explanation of a possible cause of either shift (1).
AO2 Analysis (max 3 marks) An analysis of the potential advantages of an appreciation, such as a reduction in the prices of imports, both of finished goods and of raw materials and component parts, reducing inflationary pressures in an economy. An analysis of the potential disadvantages of an appreciation, such as an increase in the price of exports making them less competitive.
Note: maximum mark of 2 if only advantages or disadvantages discussed.
AO3 Evaluation (max 2 marks)
Offers a valid judgement on whether the potential advantages of an appreciation of an exchange rate always outweigh the potential disadvantages (1) to reach a conclusion. (1) N.B the significance of elasticities and the MLC may be rewarded but must not be expected as they are A2 topics.
AO1 Knowledge and understanding: 3
AO2 Analysis: 3
AO3 Evaluation: 2</t>
  </si>
  <si>
    <t xml:space="preserve">9708_s23_21_Q5a (69%), 9708_m24_22_Q4a (62%)</t>
  </si>
  <si>
    <t xml:space="preserve">This was by far the most popular essay question. Again, it was surprising how many candidates did not produce a diagram at all or drew an accurately labelled diagram showing an appreciation in the currency value. Although most candidates recognised that a floating exchange rate meant the value of the currency was determined by supply and demand, a surprising number did not clarify that an appreciation meant a rise in the value meaning they lost 1 mark. Very few explained why the value might rise. The depth of analysis was equally mixed and tended to be assertive rather than fully explained, e.g. an appreciation would mean exports would fall may be accurate in some situations but without explanation of what those situations may be, it cannot be credited. However, there was some good and valid analysis of both negative and positive effects although valid evaluation was rare. This latter point definitely needs to be emphasised for candidates.</t>
  </si>
  <si>
    <t xml:space="preserve">9708_m23_22_Q5b</t>
  </si>
  <si>
    <t xml:space="preserve">;6.5;5.4;</t>
  </si>
  <si>
    <t xml:space="preserve">6.5.2, 5.4.3</t>
  </si>
  <si>
    <t xml:space="preserve">supply-side policy, current account deficit, competitiveness, time lags</t>
  </si>
  <si>
    <t xml:space="preserve">Assess whether supply-side policies are the most effective way to correct a deficit on the current account of the balance of payments of an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</si>
  <si>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Successful supply-side policies will cause a rightward shift in the long-run AS curve, reflecting more efficient production. This would make a country’s products more competitive in international markets and so there is likely to be an increase in net exports, correcting a deficit in the current account. Supply-side policies could include improvements in training and education, making labour markets more flexible, reductions in the powers of trade unions, an increase in competition and a reduction in rules and regulations.
Potential disadvantages of supply-side policies are that they are essentially a long-run solution and so may take a relatively long period of time to have an impact, such as improvements in training and education. Some of the policies could be quite expensive and so would involve the government in considerable expenditure, money which could have spent elsewhere (giving rise to the issue of opportunity cost).
Guidance: There are a number of alternative approaches to answering this question. At the simplest level, analysis and evaluation may focus on an assessment of the effectiveness of supply side policies only. Furthermore, this may be expanded to include a direct comparison with the effectiveness of alternative policies such as fiscal, monetary or protectionist policies. In addition, such an assessment may simply be part of evaluation. However, if supply side policies are ignored or receive scant attention then only a Level 2 mark may be awarded.
A one-sided response can only gain a maximum of Level 2.
AO3 Evaluation Points to consider may include: the cause of the deficit, the cost and ease of introducing various policies, the possible unintended consequences of introducing policies etc. leading to a justified conclusion as to whether supply-side policies would be the most effective way to correct a deficit in the current account of the balance of payments of an economy.
Accept all valid responses.
A one-sided response cannot gain any marks for evaluation.
AO1 Knowledge and Understanding and AO2 Analysis: 8
AO1 Knowledge and understanding and AO2 Analysis
AO3 Evaluation: 4</t>
  </si>
  <si>
    <t xml:space="preserve">9708_w21_21_Q4b (62%), 9708_s22_22_Q4b (58%), 9708_w22_21_Q4b (78%), 9708_s23_22_Q4b (76%), 9708_m24_22_Q4b (64%), 9708_w24_23_Q5b (73%), 9708_w25_22_Q4b (73%), 9708_w25_23_Q5b (67%)</t>
  </si>
  <si>
    <t xml:space="preserve">Although explanations of supply side policy were generally sound, these were often dealt with in general terms with little or no application to correcting a current account deficit. Consequently, most did not get beyond mid-level 2 and then only when linked to valid alternative policies. Also, there was a tendency to almost ignore the question’s emphasis on the use of supply side policies and concentrate on alternatives which led to some unbalanced answers. Evaluation once again was often lacking and often consisted of summaries which unless containing an analytical comparison of the efficiency of the various methods discussed of reducing a current account deficit, could not gain credit.</t>
  </si>
  <si>
    <t xml:space="preserve">9708_s23_21_Q1a</t>
  </si>
  <si>
    <t xml:space="preserve">4.5</t>
  </si>
  <si>
    <t xml:space="preserve">Unemployment</t>
  </si>
  <si>
    <t xml:space="preserve">;4.5;</t>
  </si>
  <si>
    <t xml:space="preserve">4.5.2</t>
  </si>
  <si>
    <t xml:space="preserve">unemployment rate, data calculation</t>
  </si>
  <si>
    <t xml:space="preserve">India – seasonal and frictional unemployment</t>
  </si>
  <si>
    <t xml:space="preserve">Using the data in Fig. 1.1, calculate the change in India’s unemployment rate between July 2020 and May 2021.</t>
  </si>
  <si>
    <t xml:space="preserve">Over this period as a whole, the unemployment rate has increased from 7.4% in July 2020 to 11.9% in May 2021. (1 mark)
This is an increase of 4.5% in India’s unemployment rate. (1 mark)
This is an increase of 60.8% (the exact figure is 60.81081%) in India’s unemployment rate (4.5 / 7.4  100); accept either 60% or 61%. (1 mark)</t>
  </si>
  <si>
    <t xml:space="preserve">9708_s25_22_Q1ai (61%)</t>
  </si>
  <si>
    <t xml:space="preserve">Many candidates were able to correctly calculate the change in India’s unemployment rate between July 2020 and May 2021, recognising that over this period the rate had increased from 7.4 per cent to 11.9 per cent. Either 4.5 per cent or 60.81 per cent were acceptable answers.</t>
  </si>
  <si>
    <t xml:space="preserve">9708_s23_21_Q1b</t>
  </si>
  <si>
    <t xml:space="preserve">4.5.3</t>
  </si>
  <si>
    <t xml:space="preserve">seasonal unemployment, agriculture</t>
  </si>
  <si>
    <t xml:space="preserve">Using the information provided, explain how agriculture caused seasonal unemployment in India in December 2020.</t>
  </si>
  <si>
    <t xml:space="preserve">The agricultural sector has failed to absorb the influx of additional labour; December is not a good month to be taking on more agricultural workers; it is more likely to be a time when agricultural jobs are being lost. (1 mark)
In December 2020, 9.8 million jobs were lost in agriculture, more than the 6 million additional labour. (1 mark)</t>
  </si>
  <si>
    <t xml:space="preserve">A number of candidates were able to explain how agriculture had caused seasonal unemployment in India in December 2020, making good use of the information provided.</t>
  </si>
  <si>
    <t xml:space="preserve">9708_s23_21_Q1c</t>
  </si>
  <si>
    <t xml:space="preserve">measuring unemployment, hidden unemployment, informal economy</t>
  </si>
  <si>
    <t xml:space="preserve">Consider the extent to which difficulties may arise in the measurement of unemployment in India.</t>
  </si>
  <si>
    <t xml:space="preserve">Inactive workers not actively seeking employment who might look for work if their situation changed. (Up to 2 marks)
Discouraged/disincentivised workers who have had no success in finding employment. (Up to 2 marks)
Disguised unemployment, i.e. people might be in employment, but are not really doing any meaningful work. (Up to 2 marks)
Unreported employment: some workers in India may be registered as unemployed but are in fact in employment, possibly in the illegal or underground or informal economy. (Up to 2 marks)
The efficiency of the tax collection system could be a valid difficulty in the measurement of unemployment. (Up to 2 marks)
The scale of the operation could also be a valid difficulty. (Up to 2 marks)
Particular difficulty of measurement in rural areas of India. (Up to 2 marks)
3 marks maximum
Evaluation Offers a valid judgement on the extent to which these are significant difficulties in the measurement of unemployment in India. (1 mark)
1 mark maximum</t>
  </si>
  <si>
    <t xml:space="preserve">9708_w24_22_Q4a (57%)</t>
  </si>
  <si>
    <t xml:space="preserve">Many candidates were able to consider the extent to which difficulties might arise in the measurement of unemployment in India, such as in relation to inactive workers, discouraged/disincentivised workers or the existence of unreported employment in the informal economy. Very few candidates made any attempt to offer any evaluation despite the fact that the question explicitly asked them to consider the extent to which difficulties might arise in the measurement of unemployment in India. Some candidates did not focus on the question asked and wrote instead on the different methods that could be used to measure unemployment.</t>
  </si>
  <si>
    <t xml:space="preserve">9708_s23_21_Q1d</t>
  </si>
  <si>
    <t xml:space="preserve">4.5.3, 4.5.4</t>
  </si>
  <si>
    <t xml:space="preserve">seasonal unemployment, frictional unemployment, consequences of unemployment</t>
  </si>
  <si>
    <t xml:space="preserve">Assess whether seasonal unemployment is likely to be a more serious problem than frictional unemployment for India’s economy.</t>
  </si>
  <si>
    <t xml:space="preserve">Up to 4 marks for explanation/analysis: Explanation/analysis of seasonal unemployment in India, such as in relation to employment in the agricultural sector. (Up to 2 marks)
Explanation/analysis of frictional unemployment in India resulting from the reluctance of people to relocate to other places or other sectors to take jobs, due to geographical immobility and/or occupational immobility. (Up to 2 marks)
Guidance: Award 2 marks if detailed explanation/analysis of one type of unemployment. Award 1 mark for less detailed explanation/analysis of one type of unemployment.
Up to 2 marks for evaluation: Relevant evaluation which considers both types of unemployment. (1 mark)
A conclusion on the extent to which one type of unemployment is a more serious problem than the other for India’s economy. (1 mark)</t>
  </si>
  <si>
    <t xml:space="preserve">9708_w25_21_Q4b (69%)</t>
  </si>
  <si>
    <t xml:space="preserve">The majority of candidates were able to offer an explanation and analysis of both seasonal unemployment and frictional unemployment, but relatively few then went on to offer a meaningful evaluation of which was likely to be a more serious problem for India’s economy. It is important that candidates realise when they are required to offer some evaluation; this is why a careful reading of the question is so important.</t>
  </si>
  <si>
    <t xml:space="preserve">9708_s23_21_Q1e</t>
  </si>
  <si>
    <t xml:space="preserve">;5.4;5.2;4.5;</t>
  </si>
  <si>
    <t xml:space="preserve">5.4.3, 5.4.4, 5.2.7</t>
  </si>
  <si>
    <t xml:space="preserve">supply-side policy, expansionary fiscal policy, employment</t>
  </si>
  <si>
    <t xml:space="preserve">Assess the possible measures that could be taken to increase employment in a country such as India.</t>
  </si>
  <si>
    <t xml:space="preserve">Up to 4 marks for explanation/analysis: Fiscal policy could be used to increase employment, such as through decreases in taxes and/or increases in public expenditure, e.g. on infrastructure investment projects, to include potential problems of such measures. (Up to 2 marks)
Monetary policy could be used to increase employment, such as through decreases in interest rates and/or increases in the money supply, to include potential problems of such measures. (Up to 2 marks)
Supply-side policies could be used to increase employment, such as through making the labour market more flexible, increasing the training/retraining provision, reducing disincentives to work, such as reducing unemployment benefits, reducing marginal tax rates and the encouragement of investment, to include potential problems of such measures. (Up to 2 marks)
4 marks maximum
Up to 2 marks for evaluation: Relevant evaluation such as in relation to the extent of the unemployment (Fig. 1.1 shows that the rate of unemployment in India has varied between 6.5% in November 2020 and January 2021 and 11.9% in May 2021), whether the measures are essentially short-term or long-term (particularly the case with supply-side measures) and whether they are concentrated in particular regions of a country.</t>
  </si>
  <si>
    <t xml:space="preserve">A number of candidates made quite a good attempt to assess the possible measures that could have been taken to increase employment in a country such as India. They could have referred to fiscal policy measures, monetary policy measures, supply-side policy measures or a combination of these different approaches. Many candidates did not attempt to offer any evaluation of the different measures despite the fact that the command word used in the question was ‘assess’.</t>
  </si>
  <si>
    <t xml:space="preserve">9708_s23_21_Q2a</t>
  </si>
  <si>
    <t xml:space="preserve">PPC, movement vs shift, unemployed resources</t>
  </si>
  <si>
    <t xml:space="preserve">With the help of a diagram, explain the difference between the causes of a movement along, and a shift of, a production possibility curve (PPC) and consider which is likely to have the most immediate impact on an economy.</t>
  </si>
  <si>
    <t xml:space="preserve">Follow the point-based marking guidance at the top of this mark scheme and award: up to 3 marks for AO1 Knowledge and understanding up to 3 marks for AO2 Analysis up to 2 marks for AO3 Evaluation.
AO1 Knowledge and understanding (3 marks maximum) An understanding of a PPC shown through an accurate diagram, with correctly labelled axes (1), a movement along a PPC showing a trade-off between production on the two axes (1), and a shift of a PPC showing an increase in production of two goods with no trade-off. (1)
AO2 Analysis (3 marks maximum) Uses the PPC to explain that a movement along a PPC is caused by a reallocation of resources (1), as resources are shifted between the two types of product, involving an opportunity cost (1), but a shift of a PPC is caused by an increase in the quantity and/or quality of resources, allowing more of both goods to be produced. (1)
AO3 Evaluation (2 marks maximum) Offers a valid judgement on whether a movement along, or a shift of, a PPC is likely to have the most immediate impact on an economy (1) to reach a conclusion. (1)
AO1 Knowledge and understanding: 3
AO2 Analysis: 3
AO3 Evaluation: 2</t>
  </si>
  <si>
    <t xml:space="preserve">9708_w24_21_Q3a (68%)</t>
  </si>
  <si>
    <t xml:space="preserve">In this part of the question, candidates were required to explain, with the help of a diagram, the difference between the causes of a movement along, and a shift of, a production possibility curve (PPC) and to consider which is likely to have the most immediate impact on an economy. Most candidates were able to draw an appropriate diagram to show a movement along, and a shift of, a PPC, although some of them did not ensure that the curves touched the axes. Many candidates brought in the concept of opportunity cost in relation to a movement along a PPC. Some candidates drew a demand and supply diagram rather than one showing a PPC. Most candidates were able to offer an appropriate analysis, but relatively few attempted to offer any evaluation. Some of those that did offer an evaluation focused on which was likely to have the most significant impact on an economy rather than the most immediate impact.</t>
  </si>
  <si>
    <t xml:space="preserve">9708_s23_21_Q2b</t>
  </si>
  <si>
    <t xml:space="preserve">public good, merit good, education, excludability</t>
  </si>
  <si>
    <t xml:space="preserve">Assess whether education should be classified as a public good rather than classified as a merit good.</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</si>
  <si>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Education is classified as a merit good because it is a private good with the characteristics of being both rival and excludable; it can therefore be provided through a market because it is possible to charge a price for it, although it can also be provided by the state.
• A public good is distinct from a private good because it has the characteristics of being both non-rival and non-excludable; it is therefore difficult, if not impossible, to charge a price for it due to the existence of the free rider problem; it therefore has to be provided by the state.
AO3 Evaluation
• Public goods can only be provided by the state.
• Merit goods will be underprovided in the free market and governments should intervene to increase provision.
• However, if the demand for education is extremely low in a country, when provided through a market, a government could decide to provide it entirely through the state.
• In conclusion, education should be classified as a merit good rather than as a public good.
Accept all valid responses.
AO1 Knowledge and understanding and AO2 Analysis: 8
AO3 Evaluation: 4</t>
  </si>
  <si>
    <t xml:space="preserve">9708_w25_21_Q3b (86%)</t>
  </si>
  <si>
    <t xml:space="preserve">In the second part of the question, candidates were required to assess whether education should be classified as a public good rather than as a merit good. Some candidates made a good attempt to distinguish between the two, pointing out that whereas a public good was non-rival and non- excludable, a merit good was an example of a private good with the characteristics of being both rival and excludable. A number of candidates did not focus on the distinction between a public good and a merit good and wrote instead about how education could be provided in the public sector. Some candidates assumed that education must be a public good because it was provided by governments. Most candidates provided little, if any, evaluation and it needs to be remembered that although eight marks are allocated to ‘knowledge and understanding’ (AO1) and ‘analysis’ (AO2) in the part (b) questions, four marks are allocated to ‘evaluation’ (AO3).</t>
  </si>
  <si>
    <t xml:space="preserve">9708_s23_21_Q3a</t>
  </si>
  <si>
    <t xml:space="preserve">2.2.1, 2.2.2, 2.2.3, 2.2.6</t>
  </si>
  <si>
    <t xml:space="preserve">XED, XED formula, substitutes, complements</t>
  </si>
  <si>
    <t xml:space="preserve">With the help of a formula, explain the meaning of cross elasticity of demand and consider which determinants are most important in establishing the size and sign of its coefficient.</t>
  </si>
  <si>
    <t xml:space="preserve">Follow the point-based marking guidance at the top of this mark scheme and award: up to 3 marks for AO1 Knowledge and understanding up to 3 marks for AO2 Analysis up to 2 marks for AO3 Evaluation.
AO1 Knowledge and understanding (3 marks maximum) An understanding of what the cross elasticity of demand measures (1), the formula for cross elasticity of demand (1) and the distinction between positive and negative XED. (1)
AO2 Analysis (3 marks maximum)
Explanation of why XED can be positive (substitutes) (1), explanation of why XED can be negative (complements) (1) and explanation of determinants establishing its magnitude (the closer the relationship between two products, whether substitutes or complements, the greater the magnitude of the value of XED). (1)
AO3 Evaluation (max 2 marks) Offers a valid judgement on the relative importance of the determinants that influence the magnitude of XED and whether it is positive or negative (1) to reach a conclusion. (1)
AO1 Knowledge and understanding: 3
AO2 Analysis: 3
AO3 Evaluation: 2</t>
  </si>
  <si>
    <t xml:space="preserve">9708_m24_22_Q3a (64%), 9708_s25_24_Q2a (59%)</t>
  </si>
  <si>
    <t xml:space="preserve">In this part of the question, candidates were required to explain, with the help of a formula, the meaning of cross elasticity of demand and to consider which determinants were most important in establishing the size and sign of its coefficient. Many candidates were able to provide an accurate XED formula, although some did not include the percentage changes while others put the percentage change in the price of one good on the top and the percentage change in the percentage change in quantity demanded of another good on the bottom. The analysis was generally quite good in terms of the distinction between substitutes and complements, but relatively few candidates made any attempt to offer an evaluation on the relative importance of the determinants that influenced the size and sign of the coefficient. This shows the importance of candidates reading the question as carefully as possible.</t>
  </si>
  <si>
    <t xml:space="preserve">9708_s23_21_Q3b</t>
  </si>
  <si>
    <t xml:space="preserve">absolute claim (always/only/alone); benefits vs costs; diagram required</t>
  </si>
  <si>
    <t xml:space="preserve">3.2.5</t>
  </si>
  <si>
    <t xml:space="preserve">buffer stock, price stabilisation, agricultural products, storage costs</t>
  </si>
  <si>
    <t xml:space="preserve">With the help of a diagram, assess whether the benefits of a buffer stock scheme for an agricultural product always outweigh its disadvantages.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</si>
  <si>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Diagram of a buffer stock scheme, correctly labelled with an equilibrium (target) price and quantity and with changes to price and quantity when there is an increase and a decrease of supply.
Explanation of the potential benefits of a buffer stock scheme.
Explanation of the disadvantages and limitations associated with a buffer stock scheme and of why such a scheme might be ineffective.
AO3 Evaluation
• Consideration of the potential effectiveness of a buffer stock scheme.
• Consideration of whether the benefits of a buffer stock scheme always outweigh its disadvantages.
• In conclusion, whether such a scheme will always be effective for all agricultural products.
Accept all valid responses.
AO1 Knowledge and understanding and AO2 Analysis: 8
AO3 Evaluation: 4</t>
  </si>
  <si>
    <t xml:space="preserve">In the second part of the question, candidates were required to assess, with the help of a diagram, whether the benefits of a buffer stock scheme for an agricultural product always outweighed its disadvantages. Most, but not all, candidates included an appropriate diagram and included it to good effect to explain the various advantages and disadvantages of such a scheme. As in Question 2 (b), little evaluation was provided by the majority of candidates in terms of exercising judgement on whether the benefits of such a scheme would always outweigh its disadvantages, despite the fact that four of the twelve marks available were for evaluation.</t>
  </si>
  <si>
    <t xml:space="preserve">9708_s23_21_Q4a</t>
  </si>
  <si>
    <t xml:space="preserve">cost-push inflation, demand-pull inflation, AD/AS</t>
  </si>
  <si>
    <t xml:space="preserve">With the help of an AD/AS diagram(s), explain cost-push inflation and demand-pull inflation in an economy and consider in what circumstances one may be more damaging than the other.</t>
  </si>
  <si>
    <t xml:space="preserve">Follow the point-based marking guidance at the top of this mark scheme and award: up to 3 marks for AO1 Knowledge and understanding up to 3 marks for AO2 Analysis up to 2 marks for AO3 Evaluation.
AO1 Knowledge and understanding (3 marks maximum) An understanding of the causes of inflation in an economy shown through an accurate diagram with correctly labelled axes (price level and real output) (1), with cost-push inflation shown by a shift of the AS curve to the left (1) and demand-pull inflation shown by a shift of the AD curve to the right. (1)
AO2 Analysis (3 marks maximum)
• Uses the diagram to explain the possible damaging effects of cost-push inflation in an economy. (Up to 2 marks)
• Uses the diagram to explain the possible damaging effects of demand- pull inflation in an economy. (Up to 2 marks)
3 marks maximum
AO3 Evaluation (2 marks maximum) Offers a valid judgement on the comparison of the two causes of inflation in an economy, including the factors that could make one cause more damaging than the other (1) to reach a conclusion. (1)
AO1 Knowledge and understanding: 3
AO2 Analysis: 3
AO3 Evaluation: 2</t>
  </si>
  <si>
    <t xml:space="preserve">9708_s25_22_Q4a (64%)</t>
  </si>
  <si>
    <t xml:space="preserve">In this part of the question, candidates were required to explain cost-push inflation and demand-pull inflation in an economy, with the help of an AD/AS diagram, and to consider in what circumstances one might be more damaging than the other. Most candidates included a diagram, although some incorrectly labelled the axes as ‘price’ rather than ‘price level’ and as ‘quantity’ rather than ‘output’ or ‘real GDP’, while others labelled the curves as ‘D’ and ‘S’ rather than as ‘AD’ and ‘AS’. Many of the answers were rather descriptive in relation to cost-push and demand-pull inflation, with relatively few candidates offering any evaluation in relation to the circumstances in which one might be more damaging than the other.</t>
  </si>
  <si>
    <t xml:space="preserve">9708_s23_21_Q4b</t>
  </si>
  <si>
    <t xml:space="preserve">;5.3;5.4;4.6;</t>
  </si>
  <si>
    <t xml:space="preserve">5.3.4, 5.4.4, 4.6.4</t>
  </si>
  <si>
    <t xml:space="preserve">monetary policy, supply-side policy, inflation control, time lags</t>
  </si>
  <si>
    <t xml:space="preserve">Assess whether monetary policy or supply-side policy is likely to be more successful in reducing the rate of inflation in an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</si>
  <si>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The meaning of monetary policy.
• The tools of monetary policy appropriate to a contractionary monetary policy: decreases in the money supply and/or an increase in the rate of interest and an appreciation of the exchange rate.
• An explanation of the strengths and weaknesses of monetary policy to reduce the rate of inflation in an economy.
• The meaning of supply-side policy.
• Examples of supply-side policy to reduce the rate of inflation in an economy, such as making the labour market more flexible, increased expenditure on education and training and promotion of competition in markets.
• An explanation of the strengths and weaknesses of supply-side policy to reduce the rate of inflation in an economy.
AO3 Evaluation
• Consideration of whether each policy is appropriate for both types of inflation.
• To arrive at a conclusion on whether monetary policy or supply-side policy is likely to be more successful in reducing the rate of inflation in an economy.
Accept all valid responses.
AO1 Knowledge and understanding and AO2 Analysis: 8
AO3 Evaluation: 4</t>
  </si>
  <si>
    <t xml:space="preserve">9708_s21_21_Q4b (60%), 9708_s22_23_Q3b (56%), 9708_w22_22_Q2b (58%), 9708_s23_22_Q5b (61%)</t>
  </si>
  <si>
    <t xml:space="preserve">In the second part of the question, candidates were required to assess whether monetary policy or supply-side policy was likely to be more successful in reducing the rate of inflation in an economy. Many candidates demonstrated quite a sound knowledge and understanding of monetary policy, but candidates were generally less successful in their treatment of supply-side policy measures. Unfortunately, relatively few candidates made any attempt to offer any evaluation of which policy approach was likely to be more successful in reducing the rate of inflation in an economy, despite the fact that although eight marks are allocated to ‘knowledge and understanding’ (AO1) and ‘analysis’ (AO2) in the part (b) questions, four marks are allocated to ‘evaluation’ (AO3).</t>
  </si>
  <si>
    <t xml:space="preserve">9708_s23_21_Q5a</t>
  </si>
  <si>
    <t xml:space="preserve">6.4.2, 6.4.4, 6.4.5</t>
  </si>
  <si>
    <t xml:space="preserve">With the help of a diagram(s), explain the likely causes of a depreciation of a floating exchange rate and consider whether such a depreciation is always beneficial to an economy.</t>
  </si>
  <si>
    <t xml:space="preserve">Follow the point-based marking guidance at the top of this mark scheme and award: up to 3 marks for AO1 Knowledge and understanding up to 3 marks for AO2 Analysis up to 2 marks for AO3 Evaluation.
AO1 Knowledge and understanding (3 marks maximum) An understanding of:
• the demand for, and the supply of, a currency, shown through an accurate diagram, with correctly labelled axes (1)
• correctly labelled demand and supply curves showing appropriate shift(s) (1)
• and a fall in the value of the exchange rate. (1)
AO2 Analysis (3 marks maximum) Uses the diagram to explain what could cause a shift of the demand curve for the currency to shift to the left and/or a shift of the supply curve of the currency to the right and analyses how these shifts could impact on the value of a currency. Consideration of potential advantages and disadvantages of a depreciation to an economy.
AO3 Evaluation (2 marks maximum) Offers a valid judgement on whether the potential benefits of a depreciation of a country’s floating exchange rate always outweigh the potential disadvantages (1) to reach a conclusion. (1)
AO1 Knowledge and understanding: 3
AO2 Analysis: 3
AO3 Evaluation: 2</t>
  </si>
  <si>
    <t xml:space="preserve">9708_s21_21_Q4a (55%), 9708_m23_22_Q5a (69%), 9708_m24_22_Q4a (62%), 9708_s25_24_Q5b (57%), 9708_s26_23_Q5a (58%)</t>
  </si>
  <si>
    <t xml:space="preserve">In this part of the question, candidates were required to explain the likely causes of a depreciation of a floating exchange rate, with the help of a diagram, and to consider whether such a depreciation would always be beneficial to an economy. Most candidates included an appropriate diagram, showing either a shift of the demand curve to the left or a shift of the supply curve to the right, but many labelled the vertical axis incorrectly as ‘price’ rather than as ‘price of a currency’ or ‘exchange rate’. Most candidates were able to analyse the likely causes of a depreciation, but relatively few went on to evaluate whether such a depreciation would always be beneficial to an economy.</t>
  </si>
  <si>
    <t xml:space="preserve">9708_s23_21_Q5b</t>
  </si>
  <si>
    <t xml:space="preserve">protectionism, free trade, infant industry, retaliation</t>
  </si>
  <si>
    <t xml:space="preserve">Assess whether the arguments for protectionism in the context of international trade are always stronger than the arguments against.</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</si>
  <si>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The arguments for protectionism/against free trade. These might include:
• Infant/sunrise industry argument
• Declining/sunset industry argument
• Strategic industry argument
• To prevent dumping
• To reduce a current account deficit
• To raise revenue for a government.
The arguments against protectionism/for free trade. These might include:
• Free trade can lead to greater specialisation and, as a consequence, greater output
• Resources are allocated more efficiently
• Consumers have a wider range of products to choose from
• This can lead to improved standards of living.
AO3 Evaluation
• Considers the possible issues of protectionism and the relative strength of the different arguments.
• In conclusion, which approach will be better for particular economic situations.
Accept all valid responses.
AO1 Knowledge and understanding and AO2 Analysis: 8
AO3 Evaluation: 4</t>
  </si>
  <si>
    <t xml:space="preserve">In the second part of the question, candidates were required to assess whether the arguments for protectionism in the context of international trade were always stronger than the arguments against. Many candidates demonstrated good AO1 and AO2 skills in relation to the various arguments for and against protectionism, although some focused more on the methods of protectionism than the arguments for and against it, showing the importance of candidates carefully reading the question. Relatively few candidates made an attempt to offer an evaluation in terms of whether the arguments for protectionism were always stronger than those against.</t>
  </si>
  <si>
    <t xml:space="preserve">9708_s23_22_Q1a</t>
  </si>
  <si>
    <t xml:space="preserve">5.2.1</t>
  </si>
  <si>
    <t xml:space="preserve">budget deficit, data comparison</t>
  </si>
  <si>
    <t xml:space="preserve">Nigeria – dependence on oil and gas</t>
  </si>
  <si>
    <t xml:space="preserve">Compare the government budget balance of Nigeria in 2016 with the government budget balance in 2020.</t>
  </si>
  <si>
    <t xml:space="preserve">Between 2016 and 2020 the budget deficit (1) increased (1)
Guidance:
• Must refer to the fact that the budget is in deficit both years
• Do not accept e.g. ‘became worse’</t>
  </si>
  <si>
    <t xml:space="preserve">The command word was ‘compare’ and the context referred to the government budget balances in Nigeria for 2016 and 2020. Candidates were expected to first identify that in both years the balance was in deficit. Simply stating that the figures were negative was insufficient as this merely copied out the data. The second mark was awarded for identifying that the deficit had increased. ‘Worsened’ was not rewarded as this is subjective, e.g., the deficit may be due to infrastructure spending which may be beneficial. Common errors included not using correct terminology and attempting to explain the deficit which led to some unnecessary time spent on this question.</t>
  </si>
  <si>
    <t xml:space="preserve">9708_s23_22_Q1b</t>
  </si>
  <si>
    <t xml:space="preserve">Demonstrate</t>
  </si>
  <si>
    <t xml:space="preserve">;1.5;4.5;</t>
  </si>
  <si>
    <t xml:space="preserve">1.5.4</t>
  </si>
  <si>
    <t xml:space="preserve">PPC, unemployed resources</t>
  </si>
  <si>
    <t xml:space="preserve">Using a production possibility curve (PPC) diagram, demonstrate the impact of the rising level of unemployment on the Nigerian economy.</t>
  </si>
  <si>
    <t xml:space="preserve">• For a fully accurately labelled PPC diagram i.e., axes labelled as 2 products and curve touching both (1)
• Showing a movement to the left within the curve or from the curve to a position within the curve (1)</t>
  </si>
  <si>
    <t xml:space="preserve">Approximately 50 per cent of all candidates gained full marks on this question. The most common error was to shift the PPC to the left rather than show a movement to the left within the curve due to unused resources i.e., labour leading to 1 mark only. A significant minority of candidates gained 0 marks because they were unable to draw an accurate PPC diagram due to e.g., incorrect labelling with P and Q being the most common example. This is a popular area for questions, and many candidates were unable to reproduce an accurate diagram.</t>
  </si>
  <si>
    <t xml:space="preserve">9708_s23_22_Q1c</t>
  </si>
  <si>
    <t xml:space="preserve">;4.6;3.2;</t>
  </si>
  <si>
    <t xml:space="preserve">4.6.4, 3.2.2</t>
  </si>
  <si>
    <t xml:space="preserve">removal of subsidy, cost-push inflation, PED</t>
  </si>
  <si>
    <t xml:space="preserve">Consider the extent to which the removal of fuel subsidies in Nigeria would lead to an increase in inflation.</t>
  </si>
  <si>
    <t xml:space="preserve">• For an explanation of why the removal of subsidies is likely to lead to an increase in the price of fuel e.g., by increasing the cost of producing and / or supplying fuel or by shifting the supply curve to the left to its original position. (1)
• For an explanation of why this is likely to lead to an increase in inflation / a rise in the price level e.g., fuel will have a high weighting in the measurement of inflation / PED is likely to be inelastic/ it is an important cost of production that affects the price of many other products / it may lead to cost-push inflation. (1)
• For an explanation of why this may lead to continuing inflation e.g., as price rises, wage demands fuel further inflation / may lead to an increase in the price level for a much wider range of products. (1)
For some evaluation of the overall impact e.g., the inflationary impact may be offset by the fact that: (1)
• there is a reduction in other costs/prices OR
• PED may in fact be elastic leading to a fall in demand and therefore prices rise but at a lower rate OR
• It also may depend on the size of the original subsidy.
Accept any other valid reason why the inflationary impact may be offset.</t>
  </si>
  <si>
    <t xml:space="preserve">9708_s24_22_Q1c (62%)</t>
  </si>
  <si>
    <t xml:space="preserve">This question was assessed in four distinct parts. Firstly, an assessment of how the removal of subsidies would lead to an increase in the price of fuel itself e.g., by increasing the cost of production/supply. Secondly an assessment of how this might lead to an increase in inflation due to the weighting of fuel in CPI or its impact on the general price level through its importance in the production of other products. Thirdly, why this might lead to sustained inflation e.g., due to a wage- price spiral. The final mark was given for a new requirement for 4-mark questions on this new syllabus, i.e., evaluation/assessment of the extent to which inflation would be the outcome. Most candidates achieved the first mark, and a significant number achieved the second mark. The third mark was rarely awarded. Valid evaluation was also quite rare, and this is clearly a skill which needs to be developed by candidates.</t>
  </si>
  <si>
    <t xml:space="preserve">9708_s23_22_Q1d</t>
  </si>
  <si>
    <t xml:space="preserve">5.4.3, 5.4.4, 6.1.4</t>
  </si>
  <si>
    <t xml:space="preserve">supply-side policy, diversification, primary product dependence, export-oriented manufacturing</t>
  </si>
  <si>
    <t xml:space="preserve">Assess whether using supply-side policy is the best way to diversify the Nigerian economy away from its dependence on oil and natural gas exports.</t>
  </si>
  <si>
    <t xml:space="preserve">Up to 4 marks for the explanation/analysis: of any valid supply-side policy to diversify the economy which may include:
• Training and education
• Government support to business e.g., assistance in setting up
• Improved infrastructure
• Research and development
• Deregulation.
For an explanation of the strengths and weaknesses with no explicit or clear implicit reference to how the chosen policy(ies) may help diversify the Nigerian economy away from its dependence on oil and natural gas exports then                                              (maximum 1 mark overall)
For analysis that clearly explains the strengths of the chosen policy(ies) in helping to diversify the Nigerian economy away from its dependence on oil and natural gas exports.                                       (Up to 2 marks)
For analysis that clearly explains the weaknesses of the chosen policy(ies) in helping to diversify the Nigerian economy away from its dependence on oil and natural gas exports.                                     (Up to 2 marks)
Up to 2 marks for evaluation:
• Which must (weigh up) assess the analysis of the relative strengths / advantages and weaknesses / disadvantages of the policy/ policies in diversifying the Nigerian economy away from an overdependence on oil and natural gas exports.
• Supply-side policy may also be judged against an alternative policy e.g., protection of infant industries.
• Reaches an overall and justified conclusion as to whether supply-side policy is the best way in the context of the Nigerian economy (reserve 1 mark)</t>
  </si>
  <si>
    <t xml:space="preserve">9708_s24_22_Q4b (56%)</t>
  </si>
  <si>
    <t xml:space="preserve">For 6-mark part d questions, it is important to note there is no requirement to compare a policy with an alternative policy unless the question specifically requests this. This question asked candidates to assess whether supply side policy would be the best way to diversify the Nigerian economy away from its dependence on oil and natural gas exports. It was essential to both identify valid supply side policies and explain how they might assist such a diversification with analysis of both the strengths and weaknesses of using the stated policies. This was marked out of 4 with 2 marks for analysis of the strengths and 2 marks for an analysis of the weaknesses. The final 2 marks was allocated for an evaluation of the strengths and weaknesses leading to a balanced judgement which clearly answered the question– not merely a summary of the strengths and weaknesses. This judgement could also include an assessment of an alternative policy although this was not essential. Valid evaluation was rare. Other weaknesses included a lack of focus on specific and accurate policies and insufficient attention to the question of how they would assist diversification. As a result, many answers gained a maximum of 1 mark reserved for generalised responses.</t>
  </si>
  <si>
    <t xml:space="preserve">9708_s23_22_Q1e</t>
  </si>
  <si>
    <t xml:space="preserve">5.2.4</t>
  </si>
  <si>
    <t xml:space="preserve">direct tax, indirect tax, tax base, tax evasion, informal economy</t>
  </si>
  <si>
    <t xml:space="preserve">Assess whether adjusting the collection of direct tax or indirect tax is likely to be more effective in increasing the tax revenue collected by the Nigerian government.</t>
  </si>
  <si>
    <t xml:space="preserve">Up to 4 marks for the explanation/analysis:
• For a simple assessment of the strengths and weaknesses of different methods of collecting direct and indirect tax with no explicit link to their effectiveness in increasing the tax revenue collected by the Nigerian government then (maximum of 1 mark overall)
• One method of adjusting direct tax may be to introduce a more progressive income tax. Analysis should consider the advantages and disadvantages of this in raising more domestic tax revenue. (Up to 3 marks maximum; but 1 mark maximum if only advantages or disadvantages are analysed.)
• One method of adjusting indirect tax may be to further increase the rate of VAT higher than the rate of 7.5% mentioned in extract 2. Analysis should consider the advantages and disadvantages of doing this in raising more domestic tax revenue. (Up to 3 marks maximum; but 1 mark maximum if only advantages or disadvantages are analysed.)
A maximum of 3 marks if only one type of tax is analysed.
Issues to consider for both the above may include:
• Fairness and equality
• The amount that may be raised
• Costs of ensuring compliance etc.
Up to 2 marks for evaluation:
• Which must compare and weigh up the likely effectiveness of both types of tax in raising tax revenue with consideration of the problems faced by the Nigerian government in increasing the amount of tax revenue raised.
• Reaches an overall conclusion as to which type of tax is likely to be the most effective.</t>
  </si>
  <si>
    <t xml:space="preserve">The question required candidates to assess whether changing/adjusting methods of collecting direct tax or indirect tax would be most effective in raising tax revenue in Nigeria. Common errors included answers which were general summaries of the two methods without any direct reference to their comparative effectiveness in raising tax revenue, ignoring the reference to adjusting the methods of collection and simply merging the two methods without distinguishing between them. Such generalised answers gained a maximum of one mark. Even when analysis was sound, effective evaluation which weighed up the likely effectiveness of both methods and came to a sound conclusion as to which may be best in the context of the problems faced by the Nigerian government, were rare. Candidates must be reminded that evaluation does not consist of simple summaries and that pertinent points must be compared and contrasted. Also, that data response answers should contain valid context where possible.</t>
  </si>
  <si>
    <t xml:space="preserve">9708_s23_22_Q2a</t>
  </si>
  <si>
    <t xml:space="preserve">;2.5;2.4;</t>
  </si>
  <si>
    <t xml:space="preserve">2.5.1, 2.5.2, 2.5.3, 2.5.4</t>
  </si>
  <si>
    <t xml:space="preserve">consumer surplus, producer surplus, cost increase, PED</t>
  </si>
  <si>
    <t xml:space="preserve">With the help of a diagram(s), explain what is meant by consumer surplus and producer surplus and consider whether a rise in the price of a product because of higher costs of production is likely to always reduce the consumer surplus.</t>
  </si>
  <si>
    <t xml:space="preserve">Follow the point-based marking guidance at the top of this mark scheme and award: up to 3 marks for AO1 Knowledge and understanding up to 3 marks for AO2 Analysis up to 2 marks for AO3 Evaluation.
AO1 Knowledge and Understanding (max 3 marks)
For a clear understanding of consumer surplus i.e., the difference between the price a consumer is willing to pay for a product and its market price (1).
For a clear understanding of producer surplus i.e., the difference between the price a producer is willing to accept and what is actually paid (1). Both clearly shown on an accurately labelled diagram (s) (1)
AO2 Analysis (max 3 marks) An accurately labelled diagram(s) showing a shift to the left in the supply curve (1) which explains and shows the extent of the change in consumer surplus for a product with an elastic price elasticity of demand (1) compared to a product with an inelastic price elasticity of demand (1)
AO3 Evaluation (max 2 marks) Following suitable analysis of PED, it can be concluded that the overall impact is that consumer surplus will always fall (1) with a conclusion that the extent of the fall is dependent on the value of the price elasticity of demand (1).
AO1 Knowledge and understanding: 3
AO2 Analysis: 3
AO3 Evaluation: 2</t>
  </si>
  <si>
    <t xml:space="preserve">This was the second most popular question attempted by candidates. Whilst a good percentage of those gained between 3 and 4 marks, most did not go beyond that. The question required candidates to make use of diagrams to both explain what was meant by the terms consumer surplus and producer surplus and then analyse the extent to which consumer surplus would always reduce given a rise in the price of a product. The main problem with AO1 was incomplete or vague knowledge of the terms and/or incorrectly labelled diagrams. With regards to AO2, candidates need to be reminded of the requirement for analysis to be explained. For example, this answer required an analysis of the impact of price elasticity of demand, and it is not enough to simply state the effect of e.g., an inelastic PED on consumer surplus, rather this must be explained in terms or the percentage change in demand as a result of a percentage change in price. Furthermore, this had to be demonstrated via an accurate diagram. Due to weaknesses in valid analysis, valid evaluation was very rare and hence for most candidates, the maximum mark gained was 4.</t>
  </si>
  <si>
    <t xml:space="preserve">9708_s23_22_Q2b</t>
  </si>
  <si>
    <t xml:space="preserve">maximum price, transfer payments, essential food, low-income households</t>
  </si>
  <si>
    <t xml:space="preserve">A government wishes to keep the price of an essential food, such as rice, affordable to help low-income households. Assess whether a policy of fixing the maximum price for an essential food is likely to be more effective than a policy of making transfer payments to low-income households.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</si>
  <si>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(max 8 marks)
The advantages and disadvantages of using a maximum pricing policy may include:
• If the price is set below the equilibrium price and quantity, then it will make e.g., rice more affordable.
• This will help low-income consumers and improve their living standards and improve their health BUT
• It will create a shortage and informal markets may arise.
• Governments may have to increase their spending to enforce the legislation.
• Rich and poor households gain equally.
Transfer payments may include:
• Unemployment benefits
• Pensions
• Food vouchers etc.
The advantages and disadvantages include:
• They can be targeted at those most in need.
• They can be targeted at the purchase of basic foodstuffs BUT
• May be costly and have an opportunity cost.
• The policies may not be used for their intended purposes (even vouchers may be sold in illegal markets)
A one-sided response can only gain a maximum of Level 2.
AO3 Evaluation (max 4 marks)
• Consideration of the relative effectiveness of a maximum pricing policy compared with the use of transfer payments.
• Consider the impact on low-income consumers of basic foodstuffs
• In conclusion, which policy is most likely to be effective in helping low- income consumers.
Accept all valid responses.
A one-sided response cannot gain any marks for evaluation.
AO1 Knowledge and understanding and AO2 Analysis: 8
AO3 Evaluation: 4</t>
  </si>
  <si>
    <t xml:space="preserve">Most candidates had a simple knowledge and understanding of how a maximum price works but often this was demonstrated solely through a diagram without any underpinning explanation. For example, a shortage would be shown on the diagram without any explanation as to why it would occur apart from QD will exceed QS. Better answers explained that the shortage occurs due to lower incentive for producers due to lower prices/profit margins. Similarly, illegal markets, queuing etc., were often asserted rather than explained. This meant many answers were placed in Level 2 maximum whereas with additional explanation, they would have been in Level 3. Candidates must remember, diagrams are an aid to explanation rather than explanations in themselves. The advantages and disadvantages of transfer payments were often better explained but again often lacked full explanation. Good evaluation was rare as there is a tendency to summarise main points rather than compare the strengths of the various arguments to answer the question.</t>
  </si>
  <si>
    <t xml:space="preserve">9708_s23_22_Q3a</t>
  </si>
  <si>
    <t xml:space="preserve">to what extent; diagram required</t>
  </si>
  <si>
    <t xml:space="preserve">market equilibrium, costs of production, wages, income effect on demand</t>
  </si>
  <si>
    <t xml:space="preserve">With the help of a diagram(s), explain what is meant by equilibrium in a market and consider the extent to which the equilibrium price and equilibrium quantity are likely to change for a product following an increase in the wages for labour across the whole economy.</t>
  </si>
  <si>
    <t xml:space="preserve">Follow the point-based marking guidance at the top of this mark scheme and award: up to 3 marks for AO1 Knowledge and understanding up to 3 marks for AO2 Analysis up to 2 marks for AO3 Evaluation.
AO1 Knowledge and Understanding (max 3 marks) The equilibrium point is where the quantity demanded equals the quantity supplied (1) and there is no tendency to change in a market (1) with an accurately labelled diagram showing the equilibrium price and equilibrium quantity (1)
AO2 Analysis (max 3 marks)
Note: there are two possible approaches to answering this question. If both the approach focused on demand-side (inferior and normal goods) and the supply-side approach are attempted, then only the best response should be marked including marks for evaluation.
EITHER: The demand curve will be expected to shift in this situation. Whether it shifts to the left or to the right will depend on the nature of the product and will shift to the left if it is an inferior good or to the right if it is a normal good. This should be the basis of the discussion.
For an accurately labelled diagram demonstrating at least one of the appropriate shift(s) in the demand curve i.e., to the right and / or the left (1) that clearly shows the change in the equilibrium price and the equilibrium quantity for both a normal and inferior good (1) and is accompanied by a clear explanation of both shifts (1)
If only one shift (normal or inferior goods) is explained, then a maximum of 2 marks.
Note: it is acceptable to use the same diagram for both knowledge and understanding and analysis
OR: The supply curve will be expected to shift to the left in this situation.
For a fully accurately labelled diagram that is clearly micro based and focused on the impact on a single product (1) that is used to clearly explain the resulting change in the price depending on whether demand is price elastic or price inelastic) (1) and quantity supplied (depending on whether supply is price elastic or price inelastic/use of buffer stocks/ effect of improved productivity) (1)
AO3 Evaluation (max 2 marks)
EITHER:
The extent of the change will be determined by whether the good is a normal good or an inferior good / the value of ped / the value of YED / the value of PES / the size of the actual change in income. A discussion focused on the extent of change (1) followed by a justified conclusion (1)
OR:
The extent of the change will depend on the importance of wage costs to an individual firm / the significance of PES (1) A discussion focused on the extent of change followed by a justified conclusion (1)
AO1 Knowledge and understanding: 3
AO2 Analysis: 3
AO3 Evaluation: 2</t>
  </si>
  <si>
    <t xml:space="preserve">There were two distinct ways to approach AO2 analysis for this question. One method was to assess the impact of the increase in income from the demand side and focus on the influence of income elasticity of demand. The second was to focus on the influence of the increase in costs of production and the possible changes in QD and QS. Where both were discussed, the quality of explanation was used to determine the final mark. AO1 was generally covered well although most candidates did not refer to the fact that there was no tendency to change. However, marks were often lost in analysis and evaluation due to a tendency, as in Question 2(a) to assert points made rather than explain them. This is a fundamental requirement under the new format and should be stressed to candidates.</t>
  </si>
  <si>
    <t xml:space="preserve">9708_s23_22_Q3b</t>
  </si>
  <si>
    <t xml:space="preserve">1.3</t>
  </si>
  <si>
    <t xml:space="preserve">Factors of production</t>
  </si>
  <si>
    <t xml:space="preserve">;1.3;4.4;</t>
  </si>
  <si>
    <t xml:space="preserve">1.3.1, 1.3.2, 4.4.4</t>
  </si>
  <si>
    <t xml:space="preserve">entrepreneurship, factors of production, long-run growth</t>
  </si>
  <si>
    <t xml:space="preserve">Entrepreneurs are vital in an economy to achieve long run economic growth. Assess whether encouraging entrepreneurship or increasing another of the factors of production will be a more effective way to achieve long-run economic growth.</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</si>
  <si>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(max 8 marks) The advantages of encouraging entrepreneurship include:
• The fact that entrepreneurs are the ones who organise the other three factors of production to produce output in an economy.
• They are the ones who take risks and in return receive profit which is the motivation to be successful and so stimulate economic growth.
• The fact that entrepreneurs must be creative and innovative to succeed and therefore should have the skills to anticipate current and future needs to be successful and therefore increase the productive potential of an economy and thus stimulate long run economic growth e.g., as measured by a shift to the right of the PPC.
• Modern economies are dynamic, ever changing and the need to respond quickly to changes is one that can be met by successful entrepreneurs. BUT
• There may be a cost in training and educating future entrepreneurs.
• The rate of success of a policy to increase entrepreneurship may be low
• The success depends on other factors such as the availability of government subsidies etc. which have an opportunity cost as well as the availability and quality of the other factors of production,
• Because of high risks, entrepreneurs may seek short run gain which may not encourage long run economic growth and may in fact make it less likely e.g., due to rapid depletion of scarce resources.
These should be compared with the likely importance and the advantage(s) and disadvantage(s) of increasing one other factor of production i.e., land OR labour OR capital. This may include an assessment of the availability of other factors of production.
A one-sided response can only gain a maximum of Level 2.
AO3 Evaluation (max 4 marks)
• Consideration of the likely importance of increasing entrepreneurship compared to increasing one other factor of production to increase long run economic growth in a modern economy.
• In conclusion, which factor of production is likely to be the most important.
Accept all valid responses.
A one-sided response cannot gain any marks for evaluation.
AO1 Knowledge and understanding and AO2 Analysis: 8
AO3 Evaluation: 4</t>
  </si>
  <si>
    <t xml:space="preserve">Most responses tended to describe the four factors of production or how they could be increased or encouraged. However, the question was focused on whether encouraging entrepreneurs was the best way of increasing long run economic growth and not simply the methods of encouraging that growth. The other main weakness was an emphasis on actual, often short run economic growth because of increases in AD rather than potential, long run economic growth due to increases in LRAS. Answers needed to be far more analytical in terms of how the four factors could achieve such growth and therefore rarely gained more than mid-Level 2 marks. Genuine evaluation rather than summative statements was rare as once again, due to insufficient depth of analysis, it was not possible to clearly answer the question. Candidates need to be encouraged to focus on the question that is set and avoid answers that often contain irrelevancy.</t>
  </si>
  <si>
    <t xml:space="preserve">9708_s23_22_Q4a</t>
  </si>
  <si>
    <t xml:space="preserve">6.1.1</t>
  </si>
  <si>
    <t xml:space="preserve">absolute advantage, comparative advantage, opportunity cost</t>
  </si>
  <si>
    <t xml:space="preserve">Two countries each produce two products and wish to trade with each other. Explain the difference between the principles of absolute advantage and comparative advantage and consider whether the principle of comparative advantage is always the more important influence when each country is deciding whether to trade with each other.</t>
  </si>
  <si>
    <t xml:space="preserve">Follow the point-based marking guidance at the top of this mark scheme and award: up to 3 marks for AO1 Knowledge and understanding up to 3 marks for AO2 Analysis up to 2 marks for AO3 Evaluation.
AO1 Knowledge and Understanding (max 3 marks) Absolute advantage is a situation where, for a given set of resources, one country can produce more of a certain product than another country (1) comparative advantage exists where one country can produce a certain product at a lower opportunity cost than another country (1) plus a simple explanation that one country may have an absolute advantage in both products but the other country may have a lower opportunity cost in producing one of the products (1)
AO2 Analysis (max 3 marks) The analysis should consider the advantages and disadvantages of using the principle of comparative advantage in deciding whether to trade or not.
Maximum of 2 marks for an analysis that only considers the advantages and a maximum of 2 marks for an analysis that only considers the disadvantages.
Points to consider include (N.B. this list is not exhaustive so allow any reasoned points):
• The benefits of specialisation leading to a more efficient allocation of resources
• An increase in world output
• An increase in employment and living standards BUT
• May exhaust finite natural resources due to over specialisation.
• Strategic industry argument
• Exchange rate may not lie between the opportunity cost ratios.
Guidance:
For AO1 and AO2, it is not expected that tables / numeric examples are used. However, they are acceptable provided they are appropriately explained.
AO3 Evaluation (max 2 marks)
For an answer that clearly compares the advantages and disadvantages of the principle of comparative advantage (1) and uses the analysis to reach a reasoned conclusion as to whether it is always the most important factor to consider (1)
AO1 Knowledge and understanding: 3
AO2 Analysis: 3
AO3 Evaluation: 2</t>
  </si>
  <si>
    <t xml:space="preserve">This was by far the least popular question on the exam paper and generally the one that gained the lowest marks for both parts (a) and (b). Although the definition of comparative advantage was generally accurate, the definition of absolute advantage was often vague and incomplete. The most common omission was to ignore the fact that in this case, it was producing more with the same set of resources. Most candidates also ignored the fact that one country could have a comparative advantage in one product even though another country had an absolute advantage in both. Better answers were able to focus on the advantages of comparative advantage in terms of specialisation and efficiency etc., and the disadvantages, principally the strategic industry argument but these were rare. Mostly, answers became embroiled in unnecessary tables and diagrams which were not explained. Evaluation was rarely present and consisted of summaries and assertions. N.B. for such questions i.e., part a of essays, an assessment of an alternative view e.g., that absolute advantage would be the most important influence may be part of evaluation but not as part of analysis unless specifically part of the question.</t>
  </si>
  <si>
    <t xml:space="preserve">9708_s23_22_Q4b</t>
  </si>
  <si>
    <t xml:space="preserve">protectionism, current account deficit, expenditure switching, retaliation</t>
  </si>
  <si>
    <t xml:space="preserve">Assess whether protectionism is the best way to correct a deficit in the current account of the balance of payments.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</si>
  <si>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(max 8 marks) Protectionism can include the use of:
• Tariffs
• Embargoes
• Export subsidies etc. Analysis should consider the advantages and disadvantages of such a policy e.g.
• Possible retaliation
• Possible long-term reliance on such measures that may reduce future competitiveness etc.
Analysis should also compare this policy with the advantages and disadvantages of another policy e.g., supply side policy, fiscal or monetary policy which may include:
• Training and education to improve productivity.
• Investment in better infrastructure
• Incentives to entrepreneurs etc.
• Expenditure dampening.
• Encouragement of a depreciation in the exchange rate.
A one-sided response can only gain a maximum of Level 2.
AO3 Evaluation (max 4 marks)
• Consideration of the relative effectiveness of the policies in correcting a deficit in the current account of the balance of payments.
• A justified conclusion showing which policy is most likely to be successful in correcting a deficit in the current account of the balance of payments.
Accept all valid responses.
A one-sided response cannot gain any marks for evaluation.
AO1 Knowledge and understanding and AO2 Analysis: 8
AO3 Evaluation: 4</t>
  </si>
  <si>
    <t xml:space="preserve">9708_s22_22_Q4b (55%), 9708_w22_21_Q4b (71%), 9708_m23_22_Q5b (76%), 9708_m24_22_Q4b (72%), 9708_w24_23_Q5b (92%), 9708_w25_22_Q4b (71%), 9708_w25_23_Q5b (75%)</t>
  </si>
  <si>
    <t xml:space="preserve">The focus of this question should have been the extent to which protectionism could correct a current account deficit as opposed to alternative policies. Often, answers became a summary of types of protectionism without any strong links to reducing a deficit and either failed to gain any marks or were placed in Level 1. Diagrams and tables are only useful as part of analysis if they are explained in the context of the question and therefore need to be developed for any credit. Although there were some good answers, they tended to be quite narrow in focus and rarely discussed the advantages and disadvantages of using protectionism compared to the advantages of an alternative policy in specifically correcting a current account deficit.</t>
  </si>
  <si>
    <t xml:space="preserve">9708_s23_22_Q5a</t>
  </si>
  <si>
    <t xml:space="preserve">;4.6;6.4;</t>
  </si>
  <si>
    <t xml:space="preserve">4.6.4, 6.4.5</t>
  </si>
  <si>
    <t xml:space="preserve">cost-push inflation, demand-pull inflation, depreciation, imported inflation</t>
  </si>
  <si>
    <t xml:space="preserve">Explain the difference between cost-push and demand-pull inflation and consider which is more likely to occur if there is a depreciation in the exchange rate of a country with few natural resources.</t>
  </si>
  <si>
    <t xml:space="preserve">Follow the point-based marking guidance at the top of this mark scheme and award: up to 3 marks for AO1 Knowledge and understanding up to 3 marks for AO2 Analysis up to 2 marks for AO3 Evaluation.
AO1 Knowledge and Understanding (max 3 marks) Cost push inflation is inflation caused by increases in the costs of production (1). Demand pull inflation is caused by increases in AD not matched by equivalent increases in AS (1). A clear explanation of the differences between the two (1)
AO2 Analysis (max 3 marks) A depreciation in the exchange rate will lead to a fall in the price of exports for the trading partner and a rise in the price of imports for the country in question. This should be analysed with reference to the impact on the different types of inflation.
Maximum of 2 marks if only demand-pull inflation is considered and should focus on the impact of the fall in price of exports and the rise in the price of imports and the possible impact on the X -M component of AD and therefore the impact on AD overall. Reference may be made to the PED of exports and the PED of imports.
Maximum of 2 marks if only cost push inflation is considered. Reference must be made to the importance of imports (1) and the fact that this country has few natural resources which probably means they must be imported for the 2nd mark.
AO3 Evaluation (max 2 marks)
For an answer that clearly considers the fact that this country has few natural resources (1) to come to a justified conclusion as to which type of inflation is most likely to be the outcome for a country with few natural resources (1)
AO1 Knowledge and understanding: 3
AO2 Analysis: 3
AO3 Evaluation: 2</t>
  </si>
  <si>
    <t xml:space="preserve">Question 5 was by far the most popular question on the paper and tended to gain the most marks overall. Specifically, 5a was generally answered quite well by many candidates. However, it was surprising how many candidates failed to refer to AD when discussing demand pull inflation and also did not clarify that such inflation was the result of an increase in AD not matched by spare AS capacity. Also, although the question specifically asked candidates to explain the difference between the two types, relatively few did so. Simply drawing AS/AD diagrams with no comment cannot offer explanation. The analysis of how a depreciation would lead to the two types of inflation was generally answered well and it was pleasing to see how many candidates recognised the importance of the reference to ‘few natural resources’ in both analysis and evaluation. However, the main weaknesses in analysis were a tendency to assert rather than explain the effects of the depreciation on AD and AS. It must be stressed that only explained points will gain credit for analysis. Once again, evaluation marks were reserved for those who clearly considered the impact of having few natural resources in the discussion as to which type of inflation was most likely.</t>
  </si>
  <si>
    <t xml:space="preserve">9708_s23_22_Q5b</t>
  </si>
  <si>
    <t xml:space="preserve">;5.3;5.2;5.4;4.6;</t>
  </si>
  <si>
    <t xml:space="preserve">5.3.4, 5.2.7, 5.4.4</t>
  </si>
  <si>
    <t xml:space="preserve">monetary policy, fiscal policy, supply-side policy, inflation control</t>
  </si>
  <si>
    <t xml:space="preserve">Assess whether monetary policy is the only way to control a high rate of inflation.</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</si>
  <si>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(max 8 marks) Explain the advantages and disadvantages of using monetary policy to control high rates of inflation to analyse its effectiveness. Points to consider may include:
• The use of interest rates to dampen AD.
• Reductions in money supply to dampen AD.
• The use of credit regulations to influence bank lending BUT
• There is also a time lag between implementing interest rate policy and it taking effect.
• Other factors other than interest rates may affect consumer spending and offset the impact of a rise in interest rates e.g., consumer confidence, expectations etc.
Monetary policy should be compared with the advantages and disadvantages of at least one other appropriate policy e.g., supply side and/or fiscal policy
A one-sided response can only gain a maximum of Level 2.
AO3 Evaluation (max 4 marks)
• Consideration of the relative effectiveness monetary policy to control high rates of inflation compared with at least one other appropriate policy.
• Although it is not necessary within the analysis / question, reference may be made to the relative effectiveness of these policies in controlling the different types of inflation.
• A justified conclusion showing which policy is most likely to be effective in controlling high rates of inflation.
A one-sided response cannot gain any marks for evaluation.
Accept all valid responses.
AO1 Knowledge and understanding and AO2 Analysis: 8
AO3 Evaluation: 4</t>
  </si>
  <si>
    <t xml:space="preserve">9708_w21_23_Q4b (63%), 9708_s22_23_Q3b (72%), 9708_s23_21_Q4b (61%)</t>
  </si>
  <si>
    <t xml:space="preserve">Most candidates managed to gain Level 2 marks. However, the reason why many responses did not get into Level 2 was a lack of clear explanation of the links between the policies discussed and the control of inflation. Once again, candidates must explain rather than assert analysis e.g., why does monetary policy reduce AD and why does this reduce inflation? Similarly, with supply side policy, why can it reduce long run aggregate supply costs and hence reduce inflationary pressure? Such analysis will convert Level 2 marks into Level 3. Once again, evaluation tended to consist of general summative statements rather than a genuine attempt to offer an assessment of the relative effectiveness of at least two policies used to control inflation and form a judgement as to which might be the best one. This meant evaluation marks were quite low even when analysis was good.</t>
  </si>
  <si>
    <t xml:space="preserve">9708_s23_23_Q1a</t>
  </si>
  <si>
    <t xml:space="preserve">percentage change, data calculation, market size</t>
  </si>
  <si>
    <t xml:space="preserve">USA/UK – doughnuts and sugary foods</t>
  </si>
  <si>
    <t xml:space="preserve">Using the data in Fig. 1.1, calculate the percentage change in the value of sales of doughnuts in the US from 2011 to 2019.</t>
  </si>
  <si>
    <t xml:space="preserve">Extrapolation of data (1) Calculation of percentage change (1)
Guidance: Data: 2011 cUSm 5500 2019 cUSm 7500
% change is 2000/5500  100% = 36% (accept 35–38%)</t>
  </si>
  <si>
    <t xml:space="preserve">9708_w23_22_Q1a (67%), 9708_w25_22_Q1aii (59%), 9708_s26_23_Q1a (57%)</t>
  </si>
  <si>
    <t xml:space="preserve">The question required a simple manipulation of data provided by the bar chart in the extract. For the first mark a correct use of the data was needed i.e., the correct figures in the correct currency. The second mark was given for the correct calculation, i.e., 36 per cent. Whilst many candidates obtained the second mark, most did not gain the first. Some candidates were unable to make this calculation.</t>
  </si>
  <si>
    <t xml:space="preserve">9708_s23_23_Q1b</t>
  </si>
  <si>
    <t xml:space="preserve">2.1.3</t>
  </si>
  <si>
    <t xml:space="preserve">determinants of demand, working from home</t>
  </si>
  <si>
    <t xml:space="preserve">Explain one reason why the US market for doughnuts contracted in 2020.</t>
  </si>
  <si>
    <t xml:space="preserve">• More workers working from home (1)
• This has led to less employees in city centres, therefore less demand for doughnuts (1)
• Shopping trips have been less frequent and therefore less demand for doughnuts (1)
Maximum 2 marks</t>
  </si>
  <si>
    <t xml:space="preserve">The extract was very specific on the reasons and candidates were expected to use this information. Better responses explained one reason and clearly linked this to the fall in overall sales of doughnuts in 2020 and therefore gained 2 marks. Weaker responses referred to a valid reason but did not make the link to falling sales and gained 1 mark only or did not explain a valid reason and gained 0 marks.</t>
  </si>
  <si>
    <t xml:space="preserve">9708_s23_23_Q1c</t>
  </si>
  <si>
    <t xml:space="preserve">Comment</t>
  </si>
  <si>
    <t xml:space="preserve">YED, income inelastic</t>
  </si>
  <si>
    <t xml:space="preserve">Comment on whether the demand for doughnuts in the US is income elastic or income inelastic.</t>
  </si>
  <si>
    <t xml:space="preserve">• Identification that it is Income inelastic (1)
• Sales of doughnuts have increased to some consumers despite them having a fall in income (1)</t>
  </si>
  <si>
    <t xml:space="preserve">Once again there was a mixed response. Some candidates simply did not use the data and suggested that demand for doughnuts was income elastic and gained 0 marks. Others suggested that it was income inelastic which was correct but were unable to say why despite the extract making it clear that purchases of doughnuts continued despite a fall in income. These answers gained 1 mark. Only a minority had clearly read the extract, understood it, and correctly applied it to answer the question fully and therefore gain 2 marks.</t>
  </si>
  <si>
    <t xml:space="preserve">9708_s23_23_Q1d</t>
  </si>
  <si>
    <t xml:space="preserve">1.6.4</t>
  </si>
  <si>
    <t xml:space="preserve">demerit good, information failure</t>
  </si>
  <si>
    <t xml:space="preserve">Explain why a doughnut might be regarded as a demerit good.</t>
  </si>
  <si>
    <t xml:space="preserve">• Doughnuts are undesirable and over-provided by the market (1)
• This is because of information failure and means that consumers are unlikely to be fully aware of the health dangers of eating an excessive amount of doughnuts(1)</t>
  </si>
  <si>
    <t xml:space="preserve">Application of economic theory and concepts was relatively rare. Most answers were vague and focused on health issues and the fact that doughnuts were bad for consumers. The fact that doughnuts are considered to be undesirable and overconsumed due to information failure was commented on by very few candidates. Most candidates who gained a mark did so by alluding to the fact that consumers are unaware of such health risks. Very few gained both marks on offer and many gained 0 marks due to no actual economic assessment.</t>
  </si>
  <si>
    <t xml:space="preserve">9708_s23_23_Q1e</t>
  </si>
  <si>
    <t xml:space="preserve">;2.4;2.1;3.2;</t>
  </si>
  <si>
    <t xml:space="preserve">2.4.2, 2.1.5, 3.2.6</t>
  </si>
  <si>
    <t xml:space="preserve">demand shift, advertising ban, PED, regulation</t>
  </si>
  <si>
    <t xml:space="preserve">With the help of a diagram, assess how the market for sugary foods in the UK might be affected by a ban on online advertising.</t>
  </si>
  <si>
    <t xml:space="preserve">• Up to 4 marks for explanation/analysis: Accurately labelled diagram showing a shift to the left in the market demand curve for sugary foods
• Explanation why a ban on online advertising is likely to lead to a fall in demand for sugary foods
• Analysis of the effects of the shift in terms of the change in price and level of demand
• Some consumers may not be put off by the information provided in advertising
• Sugary foods are cheap and take up only a small proportion of the income of an adult
• Demand for sugary foods is likely to be price inelastic
• Informal market could develop amongst younger adults/children
For an analysis that explains the advantages/strengths of an online advertising ban (Up to 2 marks)
For an analysis that explains the disadvantages/weaknesses of an online advertising ban (Up to 2 marks)
Up to 2 marks for evaluation:
For a brief comment such as
• The change in demand will depend on the PED for sugary foods
• Sugary foods is a diverse term-some types of product will be more affected than others
• Few palatable substitutes are available
• Manufacturers are likely to use other than online advertising to promote their products
• Reserve 1 mark for a justified conclusion</t>
  </si>
  <si>
    <t xml:space="preserve">This question related to the market for sugary foods in the UK. Most candidates recognised that demand would fall if online advertisements were banned and some made an attempt at suggesting PED might be inelastic, there was little attempt to use a diagram to explain how this might affect price and quantity demanded. Consequently, most candidates gained only 1 or 2 marks. Once again, most answers were too generalised, lacking in economic detail and not focused enough on the market but rather the reaction of consumers only.</t>
  </si>
  <si>
    <t xml:space="preserve">9708_s23_23_Q1f</t>
  </si>
  <si>
    <t xml:space="preserve">3.2.6, 3.1.2</t>
  </si>
  <si>
    <t xml:space="preserve">regulation, demerit good, information failure, healthcare costs</t>
  </si>
  <si>
    <t xml:space="preserve">Assess the likely effects on UK consumers and the UK government of a ban on online adverts for sugary foods.</t>
  </si>
  <si>
    <t xml:space="preserve">Up to 4 marks for explanation/analysis of any valid effects such as
• Consumers, especially children, may be healthier/less obese
• A wider range of alternative healthier snacks could become available
• Reduced pressure on the NHS as less obese people
• Educational standards and workplace productivity could improve
• Could result in less tax revenue for government due to lower sales of sugary foods and reduced advertising from manufactures of sugary foods
For an explanation of the benefits and costs of the likely effects on UK consumers and the government but with no explicit reference to the context of sugary foods (1 mark max)
For an analysis that explains the benefits to UK consumers and the government of a ban on online adverts of sugary foods (Up to 2 marks)
For an analysis that explains the costs to UK consumers and the government of a ban on online adverts of sugary foods (Up to 2 marks)
Up to 2 marks for evaluation:
• Uncertain impact of advertising ban
• Not easy to measure impact on consumer demand or government revenue
• Other forms of advertising will continue
• Reserve 1 mark for a justified conclusion</t>
  </si>
  <si>
    <t xml:space="preserve">Most candidates recognised that the question related to the impact on consumers and the UK government and better answers explained one benefit of the ban on online advertisements for the UK government and for UK consumers together with a drawback for each. However, many answers were too generalised, and some repeated the answer to 1(e) i.e., the impact on the market. There was often little attempt at meaningful evaluation and where attempted, it was often merely a summary rather than an answer to the question.</t>
  </si>
  <si>
    <t xml:space="preserve">9708_s23_23_Q2a</t>
  </si>
  <si>
    <t xml:space="preserve">YED, normal goods, inferior goods, luxury goods</t>
  </si>
  <si>
    <t xml:space="preserve">Explain, with the help of examples, the significance of the size and sign of the coefficient of income elasticity of demand for the classification of a good and consider how confident you are of this classification.</t>
  </si>
  <si>
    <t xml:space="preserve">Follow the point-based marking guidance at the top of this mark scheme and award: up to 3 marks for AO1 Knowledge and understanding up to 3 marks for AO2 Analysis up to 2 marks for AO3 Evaluation.
AO1 Knowledge and Understanding (max 3 marks) Knowledge of what is meant by income elasticity of demand (1) Formula for calculation of income elasticity of demand (1) Meaning of elastic/inelastic income elasticity of demand (1)
AO2 Analysis (max 3 marks) Analysis of the significance of the size and sign of the coefficient for normal goods with relevant examples (1) Analysis of the significance of the size and sign of the coefficient for necessity goods with relevant examples (1) Analysis of the significance of the size and sign of the coefficient for inferior goods with relevant examples (1) Analysis of the significance of the size and sign of the coefficient for superior goods with relevant examples (1)
Award maximum of 1mark for two types of good but with no examples. Award maximum of 2 marks for three types of good but with no examples.
AO3 Evaluation (max 2 marks)
For a brief comment such as
• Classification is dependent on income level of individual/household in case of inferior goods or necessities or superior goods
• A necessity for a low-income household could be a normal good for another household
• YED is an estimate calculated over separate time periods
• Reserve 1 mark for a justified conclusion
AO1 Knowledge and understanding: 3
AO2 Analysis: 3
AO3 Evaluation: 2</t>
  </si>
  <si>
    <t xml:space="preserve">This question was generally answered quite well. Most candidates were able to explain YED through a formula and the relationship between changes in income and demand for a product. Better answers gained a third knowledge and understanding mark through the meaning of elasticity. Analysis of the significance of the size and sign of the coefficient was also often done well with appropriate examples. However, most candidates were unable to offer meaningful evaluation as to the accuracy of such measures and either offered simplistic assertions or nothing at all. Candidates must remember that evaluation forms a significant proportion of part (a) questions and must be explained. Other weaknesses resulted simply from a lack of understanding of the concept of YED.</t>
  </si>
  <si>
    <t xml:space="preserve">9708_s23_23_Q2b</t>
  </si>
  <si>
    <t xml:space="preserve">2.5.1, 2.5.3, 2.2.7</t>
  </si>
  <si>
    <t xml:space="preserve">consumer surplus, PED, price change</t>
  </si>
  <si>
    <t xml:space="preserve">When the price of a product changes, it usually changes the consumer surplus in the market. Assess how variations in price elasticity of demand for a product determine the extent of changes in consumer surplus in a market.</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</si>
  <si>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(max 8 marks)
• Knowledge and understanding of consumer surplus
• Accurate labelled diagram of consumer surplus
• Explanation of effects on consumer surplus when the price of a product increases
• Explanation of the effects on consumer surplus when the price of a product decreases
• Explanation of the change in consumer surplus for a product with a price elastic PED
• Explanation of the change in consumer surplus for a product with a price inelastic PED
• Comparison of changes in consumer surplus where there are variations in the PED for a product
Level 2 max for 1 sided answers i.e. those that analyse the impact of elastic or inelastic PED
AO3 Evaluation (max 4 marks)
• Change in consumer surplus depends on the relative extent of the price change
• Change in consumer surplus also depends on the coefficient of PED
• It is assumed that a price change is the only factor that determines a change in consumer demand for a product
A one-sided response cannot gain any marks for evaluation.
AO1 Knowledge and understanding and AO2 Analysis: 8
AO3 Evaluation: 4</t>
  </si>
  <si>
    <t xml:space="preserve">Answers to this question tended to be superficial and lacking in suitable explanations. They often included some basic knowledge and understanding but did not explain the impact of price elasticity of demand in terms of the relative percentages of change in demand to a change in price. Consequently, answers were often assertive and did not achieve more than Level 2 with Level 1 being a common mark. Better answers did offer explanations rather than simply drawing diagrams and candidates must do this to gain higher marks. As a result, meaningful evaluation which explained and considered different scenarios was extremely rare.</t>
  </si>
  <si>
    <t xml:space="preserve">9708_s23_23_Q3a</t>
  </si>
  <si>
    <t xml:space="preserve">3.1</t>
  </si>
  <si>
    <t xml:space="preserve">Reasons for government intervention in markets</t>
  </si>
  <si>
    <t xml:space="preserve">;3.1;1.6;3.2;</t>
  </si>
  <si>
    <t xml:space="preserve">3.1.2, 1.6.3, 3.2.2, 3.2.3</t>
  </si>
  <si>
    <t xml:space="preserve">merit good, under-consumption, information failure, government failure</t>
  </si>
  <si>
    <t xml:space="preserve">Explain why government intervention may be required to provide merit goods and consider why such intervention may not always be successful.</t>
  </si>
  <si>
    <t xml:space="preserve">Follow the point-based marking guidance at the top of this mark scheme and award: up to 3 marks for AO1 Knowledge and understanding up to 3 marks for AO2 Analysis up to 2 marks for AO3 Evaluation.
AO1 Knowledge and understanding (max 3 marks) Government intervention takes place when markets fail (1); nature of information failure (1) examples of merit goods (1)
AO2 Analysis (max 3 marks) Application of reasons for government provision of merit goods to include essential nature of merit goods (1); private sector not willing to fully provide (1); problem of payment for merit goods (1) benefits in terms of society and the economy (1)
Guidance; Award 1 mark for each example that is explained
AO3 Evaluation (max 2 marks)
• Governments may lack the resources to provide sufficient merit goods
• Governments may not have enough information on which merit goods should be provided
• Reserve 1 mark for a justified conclusion
AO1 Knowledge and understanding: 3
AO2 Analysis: 3
AO3 Evaluation: 2</t>
  </si>
  <si>
    <t xml:space="preserve">Few candidates were able to offer a clear knowledge and understanding of merit goods with clear examples. Explanations were often superficial and simply based on products that ‘are good for you’ with little clear reference to underconsumption and the effect of information failure i.e., economic analysis. Furthermore, the reasons for government information were often unclear and undeveloped in terms of a lack of provision by the private sector and the benefits to wider society and the economy. As a result of such a lack of analysis, meaningful evaluation was rare in terms of why government intervention may not be successful. Candidates need to break down part (a) questions into knowledge and understanding of terms used within the question, analysis (in this question) of the reasons for government intervention followed by evaluation – again for this question – of the likely success of this intervention.</t>
  </si>
  <si>
    <t xml:space="preserve">9708_s23_23_Q3b</t>
  </si>
  <si>
    <t xml:space="preserve">buffer stock, agricultural markets, price stabilisation</t>
  </si>
  <si>
    <t xml:space="preserve">Assess the effectiveness of government intervention through buffer stock schemes in agricultural markets.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</si>
  <si>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(max 8 marks) The advantages and disadvantages of a buffer stock scheme in agricultural markets may include
• Effective in smoothing out price changes, particularly where these are volatile
• Responsive to market conditions
• Involves minimum and maximum prices
• Storage of products can be used to influence price changes
• Can be inefficient when surplus stocks build up
• Little incentive for producers to change what they produce
• Could lead to waste of perishable products
Other methods of intervention can include
• Subsidies paid to agricultural producers
• Tariffs on imports
• Export controls
Advantages and disadvantages include
• Less intervention, more emphasis on market forces
• Improved security of supply for domestic market
• Reduced dependence on imports
• Income of efficient farmers can increase
• Subsidies involve an opportunity cost
Level 2 max for 1 sided answers
AO3 Evaluation (max 4 marks)
• Consideration of relative effectiveness of buffer stock schemes compared to other methods of intervention
• How to determine minimum prices for government intervention
• Problem of over-supply and impact on future market prices
• Informal markets and scale of subsistence producers can be issues in low-income countries
Accept all valid responses.
A one-sided response cannot gain any marks for evaluation.
AO1 Knowledge and understanding and AO2 Analysis: 8
AO3 Evaluation: 4</t>
  </si>
  <si>
    <t xml:space="preserve">In order to answer this question, clear knowledge and understanding of the meaning of buffer stocks was essential. Most did have some understanding although this was not always clear. A significant minority, however, did not appear to have any understanding and were clearly unprepared for this question. Consequently, clear analysis of the advantages and disadvantages of buffer stock schemes together with alternative policies was rare and most answers were unable to get beyond Level 2, Because of this, effective evaluation was also extremely rare. Candidates need to be aware that analysis must be accurate, relevant, explained and cover at least 2 sides of an argument to get beyond Level 2 and also gain marks for evaluation.</t>
  </si>
  <si>
    <t xml:space="preserve">9708_s23_23_Q4a</t>
  </si>
  <si>
    <t xml:space="preserve">4.2.1, 4.2.2, 4.2.3</t>
  </si>
  <si>
    <t xml:space="preserve">circular flow, open economy, injections, leakages, equilibrium</t>
  </si>
  <si>
    <t xml:space="preserve">With the help of a circular flow of income diagram, explain how equilibrium is determined in an open economy and consider whether a budget deficit or a trade deficit is more likely to cause lasting disequilibrium.</t>
  </si>
  <si>
    <t xml:space="preserve">Follow the point-based marking guidance at the top of this mark scheme and award: up to 3 marks for AO1 Knowledge and understanding up to 3 marks for AO2 Analysis up to 2 marks for AO3 Evaluation.
AO1 Knowledge and understanding (max 3 marks) An understanding of the circular flow of income shown through an accurate diagram showing income flows between firms and households (1); correct inclusion of exports and imports (1); correct inclusion of government spending and taxation (1)
AO2 Analysis (max 3 marks)
Explanation of injections into the circular flow of income;(1); explanation of leakages from the circular flow of income (1); determination of equilibrium in the circular flow of income (1)
AO3 Evaluation (max 2 marks) Consideration how a budget deficit or a trade deficit leads to disequilibrium in the circular flow of income (1); consideration which is likely to cause lasting disequilibrium (1) Reserve 1 mark for a justified conclusion
AO1 Knowledge and understanding: 3
AO2 Analysis: 3
AO3 Evaluation: 2</t>
  </si>
  <si>
    <t xml:space="preserve">Very few candidates attempted this question and those who did gained very low marks with few exceptions. Most candidates did not appear to understand money flows and although some had knowledge of injections and withdrawals, most were unaware of the significance of an open economy. With such a small number of candidates, it is very difficult to draw accurate conclusions about performance, but this is a new addition to the syllabus, and it is likely that future questions will be drawn from this area. Breadth of coverage as part of preparation is essential.</t>
  </si>
  <si>
    <t xml:space="preserve">9708_s23_23_Q4b</t>
  </si>
  <si>
    <t xml:space="preserve">;4.2;4.3;</t>
  </si>
  <si>
    <t xml:space="preserve">4.2.2, 4.3.3</t>
  </si>
  <si>
    <t xml:space="preserve">investment, injections, multiplier effect, infrastructure</t>
  </si>
  <si>
    <t xml:space="preserve">Assess whether an increase in investment in new infrastructure projects will always have a positive impact on the circular flow of income in an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</si>
  <si>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(max 8 marks) Increased investment in new infrastructure can have a positive and negative impact on the circular flow of income in an economy:
• Increased investment can be from firms or government
• Household savings can be a source of funds for this investment
• Investment is an injection in to the circular flow of income
• There is increased payments for factors of production
• Households supply factor services to firms in the form of labour, enterprise and capital
• In turn, firms provide factor services to implement the investment
• Leakages impact on the total flow of funds in the circular flow of income
• Taxation on the inputs into the new infrastructure project is a leakage from households and firms to the government
• Other leakages are spending on imports of materials to implement the new infrastructure project
• Household savings are a leakage from factor income
• Equilibrium in the circular flow will depend on the balance between injections and leakages.
Maximum level 2 for a one-sided response
AO3 Evaluation (max 4 marks)
• The circular flow model is a simplified view of reality.
• The impact will depend upon the net of injections and leakages.
• There could be a negative impact on the circular flow of income if leakages exceed injections.
• Most forms of new infrastructure have a negative impact not taken into account by the model
• Consideration as to whether all new infrastructure always has a positive impact on the circular flow of income
Accept all valid responses.
A one-sided response cannot gain any marks for evaluation.
AO1 Knowledge and understanding and AO2 Analysis: 8
AO3 Evaluation: 4</t>
  </si>
  <si>
    <t xml:space="preserve">The same problems obviously were apparent in part (b). Although better responses recognised that investment was an injection, this was rarely explained or developed. Effective assessment was not seen in terms of the balance of injections to leakages and consequently, evaluation was not seen. Clearly, this is part of the syllabus which needs candidates to be better prepared for.</t>
  </si>
  <si>
    <t xml:space="preserve">9708_s23_23_Q5a</t>
  </si>
  <si>
    <t xml:space="preserve">interest rates, contractionary monetary policy, inflation control</t>
  </si>
  <si>
    <t xml:space="preserve">Explain how monetary policy may be able to reduce the rate of inflation in an economy and consider the likely success of this policy.</t>
  </si>
  <si>
    <t xml:space="preserve">Follow the point-based marking guidance at the top of this mark scheme and award: up to 3 marks for AO1 Knowledge and understanding up to 3 marks for AO2 Analysis up to 2 marks for AO3 Evaluation.
AO1 Knowledge and understanding (max 3 marks)
An understanding of monetary policy (1); tools of monetary policy :interest rates, supply of money and regulations (1); nature of a contractionary monetary policy (1)
AO2 Analysis (max 3 marks)
An explanation of how the tools of monetary policy can be applied to reduce inflation (1); analysis of these changes on aggregate demand and the price level (1); analysis of the effects on output and employment (1).
AO3 Evaluation (max 2 marks) The effectiveness of monetary policy will depend upon the response of consumers and firms, in particular to higher interest rates (1) May also depend on the rate of inflation and its causes (1) Reserve 1 mark for a justified conclusion.
AO1 Knowledge and understanding: 3
AO2 Analysis: 3
AO3 Evaluation: 2</t>
  </si>
  <si>
    <t xml:space="preserve">There were some reasonable answers to the knowledge and understanding (AO1) and analysis (AO2). However, evaluation was not much in evidence as candidates were generally unable to explain why monetary policy may not work in reducing inflation. Most candidates had an understanding of the tools of monetary policy and that a contractionary policy would be required to reduce inflation. The main weaknesses lay in analysis and only the better responses explained how the policy could reduce AD and therefore the price level and this also extended to the impact on output and unemployment. Weaker answers tended to assert outcomes which reduced the marks awarded. Consequently, marks ranged from 0 – 2 to 4 – 6 out of the available 8.</t>
  </si>
  <si>
    <t xml:space="preserve">9708_s23_23_Q5b</t>
  </si>
  <si>
    <t xml:space="preserve">5.1</t>
  </si>
  <si>
    <t xml:space="preserve">Government macroeconomic policy objectives</t>
  </si>
  <si>
    <t xml:space="preserve">;5.1;5.2;5.3;5.4;</t>
  </si>
  <si>
    <t xml:space="preserve">5.1.1, 5.2.7, 5.3.4, 5.4.4</t>
  </si>
  <si>
    <t xml:space="preserve">macroeconomic objectives, fiscal policy, monetary policy, supply-side policy, policy conflicts</t>
  </si>
  <si>
    <t xml:space="preserve">Assess how governments use macroeconomic intervention to achieve their macroeconomic objectives.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</si>
  <si>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(max 8 marks)
• Macroeconomic objective of price stability
• Macroeconomic objective of low unemployment
• Macroeconomic objective of economic growth
• Government budget as a form of intervention
• Scope and use of fiscal policy as a form of intervention
• Scope and use of monetary policy as a form of intervention
• Scope and use of supply-side policy as a form of intervention
• Examples of links between macroeconomic objectives and forms of intervention
• Other objectives such as distribution of income
A one-sided response can only gain a maximum mark of Level 2
AO3 Evaluation (max 4 marks)
• Consideration of the extent to which macroeconomic intervention allows governments to achieve their macroeconomic policy objectives
• Effectiveness of particular interventions in relation to specific macroeconomic objectives
Accept all valid responses.
A one-sided response cannot gain any marks for evaluation.
AO1 Knowledge and understanding and AO2 Analysis: 8
AO3 Evaluation: 4</t>
  </si>
  <si>
    <t xml:space="preserve">Answers tended to be descriptive and not analytical. Some better responses demonstrated knowledge and understanding of the main government macroeconomic objectives and could apply this knowledge to intervention used in meeting these objectives. However, a detailed assessment and explanation of the advantages and disadvantages of these policies and the objectives themselves was rare and often consisted of superficial assertions. Once again, candidates need to explain points made to achieve more than Level 1 answers. Evaluation as a result was rare.</t>
  </si>
  <si>
    <t xml:space="preserve">9708_w23_21_Q1a</t>
  </si>
  <si>
    <t xml:space="preserve">;4.4;4.6;</t>
  </si>
  <si>
    <t xml:space="preserve">4.4.3, 4.6.3</t>
  </si>
  <si>
    <t xml:space="preserve">real GDP, nominal vs real</t>
  </si>
  <si>
    <t xml:space="preserve">Taiwan – export-led growth and an appreciating currency</t>
  </si>
  <si>
    <t xml:space="preserve">Using the data in Table 1.1, calculate the expected growth in Taiwan’s real GDP in 2021, based on the latest forecast.</t>
  </si>
  <si>
    <t xml:space="preserve">• Expected growth in Taiwan’s real GDP in 2021 is 4.6% minus 1.3% = 3.3% (2)
• If a candidate correctly shows the method, i.e. 4.6% minus 1.3%, but makes an incorrect calculation, one mark can be awarded. (1)
• OR if a candidate states nominal GDP growth – CPI increase = real GDP growth (1)</t>
  </si>
  <si>
    <t xml:space="preserve">Many candidates were able to correctly calculate, using the data in Table 1.1., the expected growth in Taiwan’s real GDP in 2021, based on the latest forecast in February 2021. The answer was 3.3% and this answer was arrived at by subtracting the CPI increase (1.3%) from nominal GDP growth (4.6%).</t>
  </si>
  <si>
    <t xml:space="preserve">9708_w23_21_Q1b</t>
  </si>
  <si>
    <t xml:space="preserve">causes of growth, investment, consumption</t>
  </si>
  <si>
    <t xml:space="preserve">State two internal causes of economic growth for Taiwan in 2021 and consider which of these is more likely to generate long-term economic growth.</t>
  </si>
  <si>
    <t xml:space="preserve">• Identification of capital investment. (1)
• Example of capital investment by Taiwan producer of US$28 billion leading to faster economic growth (needs to refer to figure to gain the second mark). (1)
• Identification of growth in consumption expenditure. (1)
• Consumption expenditure is forecast to grow by 3.7% in 2021, the fastest growth in 17 years, leading to faster economic growth (needs to refer to the 3.7% growth figure to gain the second mark). (1)
(Max 3 marks)
Evaluation
Offers a valid judgement on which of these causes is more likely to generate long-term economic growth. (1)</t>
  </si>
  <si>
    <t xml:space="preserve">A number of candidates were able to state two internal causes of economic growth for Taiwan in 2021, including capital investment and the growth in consumption expenditure, and then consider which of these would be more likely to generate long-term economic growth, arguing in favour of the former as capital investment would lead to an increase in productive capacity in Taiwan. A few candidates wrote about external, rather than internal, causes of economic growth for Taiwan. Also, many candidates did not make relevant use of the data provided in the source material.</t>
  </si>
  <si>
    <t xml:space="preserve">9708_w23_21_Q1c</t>
  </si>
  <si>
    <t xml:space="preserve">appreciation, currency demand, export demand</t>
  </si>
  <si>
    <t xml:space="preserve">Explain why the Taiwan dollar appreciated in 2020.</t>
  </si>
  <si>
    <t xml:space="preserve">Explanation linking the appreciation of the currency to:
• an increase in the demand for exports/an increase in the trade surplus (1)
• and therefore the need to be in possession of Taiwan dollars in order to buy these exports. (1)
(Up to 2 marks)</t>
  </si>
  <si>
    <t xml:space="preserve">9708_s24_23_Q1bi (62%)</t>
  </si>
  <si>
    <t xml:space="preserve">Many candidates were able to explain why the Taiwan dollar appreciated in 2020, in terms of an increase in the demand for exports or an increase in the trade surplus, but relatively few went on to develop the explanation in terms of the need to possess Taiwan dollars in order to buy exports from Taiwan.</t>
  </si>
  <si>
    <t xml:space="preserve">9708_w23_21_Q1d</t>
  </si>
  <si>
    <t xml:space="preserve">;6.1;6.4;</t>
  </si>
  <si>
    <t xml:space="preserve">terms of trade, appreciation, export competitiveness, imported inputs</t>
  </si>
  <si>
    <t xml:space="preserve">Assess whether the effects of the appreciation of the Taiwan dollar on the terms of trade will benefit all industries in Taiwan.</t>
  </si>
  <si>
    <t xml:space="preserve">Up to 4 marks for explanation/analysis:
Explanation of the terms of trade in relation to the ratio of average export prices to average import prices. (1 mark)
The impact of the appreciation of the Taiwan dollar will be to make exports from Taiwan more expensive and imports into Taiwan less expensive. (Up to 3 marks)
Guidance: A max of 2 marks if only the effect on exports or imports is assessed.
Up to 2 marks for evaluation:
Relevant evaluation of whether the effects of the appreciation of the Taiwan dollar on the terms of trade will benefit all industries in Taiwan, taking into account the potential impact of higher export prices and lower import prices on different industries (1) to reach a conclusion. (1)</t>
  </si>
  <si>
    <t xml:space="preserve">A number of candidates wrote generally about the possible effects of the appreciation of the Taiwan dollar without focusing specifically on the terms of trade. Some of the candidates who referred to the terms of trade did not fully understand the meaning of the term, writing about trade in general rather than about changes in the relative prices of exports and imports. Some candidates did not attempt to offer any evaluation of whether the effects of the appreciation of the Taiwan dollar on the terms of trade would benefit all industries in Taiwan. It is important that candidates realise when they are required to offer some evaluation; this is why a careful reading of the question is so important.</t>
  </si>
  <si>
    <t xml:space="preserve">9708_w23_21_Q1e</t>
  </si>
  <si>
    <t xml:space="preserve">consequences of growth, inflation, environment, living standards</t>
  </si>
  <si>
    <t xml:space="preserve">Assess the possible consequences of a higher rate of economic growth for an economy such as Taiwan.</t>
  </si>
  <si>
    <t xml:space="preserve">Up to 4 marks for explanation/analysis:
• Positive consequences: Explanation/analysis that a higher rate of economic growth will lead to increased expenditure, such as on education and health care. Explanation extended to other possible consequences, such as in relation to a higher standard of living, more jobs, higher incomes and less poverty. (Up to 2 marks)
• Negative consequences: Explanation/analysis that a higher rate of economic growth would increase pressure on available resources which could have possible negative environmental effects, such as in relation to congestion and pollution. (Up to 2 marks)
Up to 2 marks for evaluation: Relevant evaluation which weighs up the consequences on both sides (1) to reach a conclusion on the likely overall effect. (1)</t>
  </si>
  <si>
    <t xml:space="preserve">9708_m23_22_Q4b (70%), 9708_w24_21_Q4a (55%)</t>
  </si>
  <si>
    <t xml:space="preserve">A number of candidates made good attempts to assess the possible consequences of a higher rate of economic growth for an economy such as Taiwan, although some candidates wrote about only potentially positive or potentially negative consequences. This then made it difficult to offer any evaluation as the answer was so unbalanced, making it impossible to judge whether the possible positive consequences outweighed the possible negative consequences, although a small number of candidates did point out that the overall impact would depend, to a large extent, on the pace of economic growth. Candidates need to understand that when the command word used in a question is ‘assess’, some evaluation is required.</t>
  </si>
  <si>
    <t xml:space="preserve">9708_w23_21_Q2a</t>
  </si>
  <si>
    <t xml:space="preserve">;2.1;2.4;2.3;</t>
  </si>
  <si>
    <t xml:space="preserve">2.1.3, 2.1.5, 2.4.2, 2.3.3</t>
  </si>
  <si>
    <t xml:space="preserve">determinants of demand, demand shift, PES, short run vs long run</t>
  </si>
  <si>
    <t xml:space="preserve">With the help of a diagram, explain what could cause an increase in demand for a product and consider whether the impact of an increase in demand on the price of the product will be the same in the short run and the long run.</t>
  </si>
  <si>
    <t xml:space="preserve">Follow the point-based marking guidance at the top of this mark scheme and award: up to 3 marks for AO1 Knowledge and understanding up to 3 marks for AO2 Analysis up to 2 marks for AO3 Evaluation.
AO1 Knowledge and understanding (max 3 marks)
An understanding of the demand for a product, shown through an accurate diagram, with correctly labelled axes (1), correctly labelled demand and supply curves and a correctly labelled shift of the demand curve to the right (1) and with equilibrium positions in terms of both price and quantity clearly shown or a movement from E1 to E2. (1)
AO2 Analysis (max 3 marks)
Uses the diagram to explain what could cause a shift of the demand curve to the right for a product and analyses the causes of an increase in demand for a product.
AO3 Evaluation (max 2 marks)
Offers a valid judgement on whether the impact of an increase in demand on the price of the product will be the same in the short run and long run (1) to reach a conclusion. (1)
AO1 Knowledge and understanding: 3
AO2 Analysis: 3
AO3 Evaluation: 2</t>
  </si>
  <si>
    <t xml:space="preserve">In this part of the question, candidates were required to explain, with the help of a diagram, what could cause an increase in demand for a product. The diagram needed to show a shift of the demand curve to the right, but many candidates drew a diagram that showed a movement along a demand curve rather than a shift. Some candidates drew a diagram showing demand but not supply, while others drew an AD/AS diagram rather than D/S. Similarly, in the analysis, many candidates wrote about the significance of a change in the price of a product rather than a change in any of the factors affecting demand, such as a rise in income or a change in the tastes and preferences of consumers. Relatively few candidates attempted to offer any meaningful evaluation of whether the impact of an increase in demand on the price of the product would be the same in the short run and the long run.</t>
  </si>
  <si>
    <t xml:space="preserve">9708_w23_21_Q2b</t>
  </si>
  <si>
    <t xml:space="preserve">Assess whether price elasticity of demand (PED) or income elasticity of demand (YED) is likely to be of greater importance to a firm producing cars.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</si>
  <si>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 understanding of the meaning and formula of PED.
• An understanding of the meaning and formula of YED.
• An analysis of how each of these concepts can be applied to the specific context of a firm producing cars.
Guidance: A clear comparison of the strengths and weaknesses of these two concepts in the context of car production needed to get into Level 3.
(Up to 8 marks)
AO3 Evaluation
• PED should be easier for a firm to calculate than YED.
• PED will indicate whether price should be increased or decreased.
• However, a firm will need to take into account the availability of substitutes, the amount spent on the product and the time period under consideration.
• YED will be helpful in giving a firm an indication of the extent to which a change in income may affect spending on cars.
• However, a firm will need to take into account whether a car is seen as a normal or an inferior good, the proportion of income that is spent on the car and whether an economy is experiencing an upturn or a downturn.
• In conclusion, PED is likely to be of greater importance than YED, but YED will still be of some use.
Accept all valid responses.
(Up to 4 marks)
AO1 Knowledge and understanding and AO2 Analysis: 8
AO3 Evaluation: 4</t>
  </si>
  <si>
    <t xml:space="preserve">9708_w21_23_Q3b (73%), 9708_w22_21_Q2b (74%), 9708_w23_23_Q2b (72%), 9708_m24_22_Q3b (56%), 9708_w25_21_Q2b (63%), 9708_s26_24_Q2b (87%)</t>
  </si>
  <si>
    <t xml:space="preserve">In the second part of the question, candidates were required to assess whether price elasticity of demand (PED) or income elasticity of demand (YED) was likely to be of greater importance to a firm producing cars. They needed to demonstrate a knowledge and understanding of both PED and YED and then to analyse each of them in the specific context of a firm producing cars. Most candidates had a reasonably clear understanding of PED, but there was often an element of confusion over the meaning of YED. Many of the answers were rather general with no, or very little, application to the particular context. In terms of evaluation, candidates needed to assess which was likely to be of greater importance, but many of the answers were rather descriptive, making little attempt to offer a judgement as to why one might be of greater importance than the other. It should be remembered that although eight marks are allocated to ‘knowledge and understanding’ (AO1) and ‘analysis’ (AO2) in the part (b) questions, four marks are allocated to ‘evaluation’ (AO3).</t>
  </si>
  <si>
    <t xml:space="preserve">9708_w23_21_Q3a</t>
  </si>
  <si>
    <t xml:space="preserve">3.2.3, 1.6.3</t>
  </si>
  <si>
    <t xml:space="preserve">direct provision, merit goods, government failure</t>
  </si>
  <si>
    <t xml:space="preserve">Explain why a government might decide to increase its direct provision of essential goods and services and consider whether such a policy is always likely to be successful.</t>
  </si>
  <si>
    <t xml:space="preserve">Follow the point-based marking guidance at the top of this mark scheme and award: up to 3 marks for AO1 Knowledge and understanding up to 3 marks for AO2 Analysis up to 2 marks for AO3 Evaluation.
AO1 Knowledge and understanding (max 3 marks)
An understanding of the role of the state in providing essential goods and services, such as merit goods (1); these could include education and health care (1) and they could be financed out of money received from taxation. (1)
Guidance: Allow expenditure by a government on items such as food and shelter.
AO2 Analysis (max 3 marks)
Up to 2 marks for explaining each essential good or service that a government might decide to increase the direct provision of.
Max: 3 marks
Guidance: 2 marks for each well-explained essential good or service provided by the state and 1 mark for each essential good or service provided by the state with limited explanation.
AO3 Evaluation (max 2 marks)
Offers a valid judgement on whether an increase in a government’s direct provision of essential goods and services will always be likely to be successful in achieving its objectives in an economy (1) to reach a conclusion. (1)
AO1 Knowledge and understanding: 3
AO2 Analysis: 3
AO3 Evaluation: 2</t>
  </si>
  <si>
    <t xml:space="preserve">In this part of the question, candidates were required to explain why a government might decide to increase its direct provision of essential goods and services. There were some reasonably good answers to this part of the question, with candidates writing about such merit goods as education or health care, but the evaluation of whether such a policy was always likely to be successful was rather limited. However, some candidates did offer some form of evaluation, such as in terms of the availability of sufficient funds to finance such a policy or in relation to the concept of opportunity cost.</t>
  </si>
  <si>
    <t xml:space="preserve">9708_w23_21_Q3b</t>
  </si>
  <si>
    <t xml:space="preserve">maximum price, shortages, informal market</t>
  </si>
  <si>
    <t xml:space="preserve">Governments sometimes fix maximum prices on goods for different reasons. Assess whether the use of a maximum price is always advantageous.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</si>
  <si>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The advantages of a maximum price might include:
• The price of certain products, such as essential foods, can be limited by the establishment of a price ceiling.
• The effect of this will be to make such items more affordable to people.
• This will reduce the extent of poverty in a country.
The disadvantages of a maximum price might include:
• The impact of the maximum price will be to create a situation of excess demand in the market (this needs to be clearly explained).
• This could lead to queuing or rationing.
• It could lead to the creation of a black or illegal market.
(Up to 8 marks)
AO3 Evaluation
• Consideration of the relative balance of advantages and disadvantages of the policy.
• Consideration of the impact of this policy on producers and consumers.
• In conclusion, consideration of whether the policy will be effective and always advantageous.
Accept all valid responses.
(Up to 4 marks)
AO1 Knowledge and understanding and AO2 Analysis: 8
AO3 Evaluation: 4</t>
  </si>
  <si>
    <t xml:space="preserve">In the second part of the question, candidates were required to assess whether the use of a maximum price was always advantageous. There were some good well-balanced answers, with candidates writing about both the potential advantages, such as making the price of many products more affordable, and the potential disadvantages, such as excess demand and the likelihood of a shortage arising leading to queuing, rationing and the possible creation of an illegal market. Some candidates did make an attempt to offer an evaluation in terms of the possible impact of a maximum price on both producers and consumers. However, a number of candidates simply offered a summary of points already made and it is important it is understood that an evaluation requires some form of judgement and assessment and not a summary. A few candidates misread the question and wrote about a minimum, rather than a maximum, price.</t>
  </si>
  <si>
    <t xml:space="preserve">9708_w23_21_Q4a</t>
  </si>
  <si>
    <t xml:space="preserve">reasons for taxation, progressive tax, regressive tax, equity</t>
  </si>
  <si>
    <t xml:space="preserve">Explain the reasons why governments impose taxes and consider whether an increase in income tax is fairer than an increase in sales taxes.</t>
  </si>
  <si>
    <t xml:space="preserve">Follow the point-based marking guidance at the top of this mark scheme and award: up to 3 marks for AO1 Knowledge and understanding up to 3 marks for AO2 Analysis up to 2 marks for AO3 Evaluation.
AO1 Knowledge and understanding (max 3 marks)
A clear understanding of the various possible reasons why governments impose taxes.
AO2 Analysis (max 3 marks)
Analysis of the distinction between a direct tax, such as income tax, and an indirect tax, such as a sales tax, with appropriate reference to fairness.
AO3 Evaluation (max 2 marks)
Offers a valid judgement on whether an increase in income tax is fairer than an increase in sales taxes (1) to reach a conclusion. (1)
AO1 Knowledge and understanding: 3
AO2 Analysis: 3
AO3 Evaluation: 2</t>
  </si>
  <si>
    <t xml:space="preserve">In this part of the question, candidates were required to explain the reasons why governments impose taxes. Most candidates demonstrated sound knowledge and understanding of the different possible reasons for taxation and then went on to clearly distinguish between a direct tax, such as income tax, and an indirect tax, such as a sales tax. Many candidates did make reference to the concept of fairness and some of them did make an attempt to make a judgement as to whether an increase in income tax might be regarded as fairer than an increase in a sales tax. However, there was often some confusion over the distinction between a progressive tax and a regressive tax.</t>
  </si>
  <si>
    <t xml:space="preserve">9708_w23_21_Q4b</t>
  </si>
  <si>
    <t xml:space="preserve">5.2.2, 5.2.3, 5.2.6</t>
  </si>
  <si>
    <t xml:space="preserve">balanced budget, budget deficit, budget surplus</t>
  </si>
  <si>
    <t xml:space="preserve">Assess whether a government should always aim to balance its budget rather than have a budget surplus or a budget deficit.</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</si>
  <si>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The meaning of a balanced budget.
• The significance of a balanced budget.
• The meaning of a budget deficit.
• Link to expansionary fiscal policy.
• Explanation in relation to such aims as reducing the level of unemployment or increasing the rate of economic growth in an economy.
• The meaning of a budget surplus.
• Link to contractionary fiscal policy.
• Explanation in relation to such aims as reducing the rate of inflation or the size of the trade balance through a reduction of imports.
(Up to 8 marks)
AO3 Evaluation
• Consideration of which fiscal position is appropriate for particular macroeconomic problems.
• In conclusion, which approach will be better for particular economic situations.
Accept all valid responses.
(Up to 4 marks)
AO1 Knowledge and understanding and AO2 Analysis: 8
AO3 Evaluation: 4</t>
  </si>
  <si>
    <t xml:space="preserve">9708_w24_21_Q4b (59%)</t>
  </si>
  <si>
    <t xml:space="preserve">In the second part of the question, candidates were required to assess whether a government should always aim to balance its budget rather than have a budget surplus or a budget deficit. Most candidates understood what was meant by a budget surplus or a budget deficit, but they didn’t always relate these to expansionary or contractionary fiscal policy in attempting to achieve various objectives, such as a reduction in the rate of inflation or an increase in the rate of economic growth. A number of candidates also confused a budget deficit or surplus with a deficit or surplus in the current account of the balance of payments. Relatively few candidates made any attempt to offer any evaluation of why one policy approach might be preferable to the other in terms of the wider economic context.</t>
  </si>
  <si>
    <t xml:space="preserve">9708_w23_21_Q5a</t>
  </si>
  <si>
    <t xml:space="preserve">6.2.2</t>
  </si>
  <si>
    <t xml:space="preserve">tariffs, quotas, government revenue</t>
  </si>
  <si>
    <t xml:space="preserve">Explain the difference between an import tariff and an import quota and consider why a government would choose an import tariff rather than an import quota as a tool of protection in international trade.</t>
  </si>
  <si>
    <t xml:space="preserve">Follow the point-based marking guidance at the top of this mark scheme and award: up to 3 marks for AO1 Knowledge and understanding up to 3 marks for AO2 Analysis up to 2 marks for AO3 Evaluation.
AO1 Knowledge and understanding (max 3 marks)
The meaning of an import tariff as a tool of protection. (Up to 2 marks) The meaning of an import quota as a tool of protection. (Up to 2 marks) (Max 3 marks)
AO2 Analysis (max 3 marks) An explanation of the various advantages and disadvantages of an import tariff as a tool of protection in international trade. (Up to 2 marks) An explanation of the various advantages and disadvantages of an import quota as a tool of protection in international trade. (Up to 2 marks)
Max 3 marks
AO3 Evaluation (max 2 marks)
Offers a valid judgement on why a government would choose an import tariff rather than an import quota as a tool of protection in international trade (1) to reach a conclusion. (1)
AO1 Knowledge and understanding: 3
AO2 Analysis: 3
AO3 Evaluation: 2</t>
  </si>
  <si>
    <t xml:space="preserve">In this part of the question, candidates were required to explain the difference between an import tariff and an import quota and most demonstrated a sound awareness of the key differences. A number of candidates were able to offer an analysis of the various advantages and disadvantages of each and there were some reasonable attempts at evaluation in relation to why a government would choose one rather than the other as a tool of protection in international trade.</t>
  </si>
  <si>
    <t xml:space="preserve">9708_w23_21_Q5b</t>
  </si>
  <si>
    <t xml:space="preserve">absolute advantage, comparative advantage, limitations of the theory, transport costs</t>
  </si>
  <si>
    <t xml:space="preserve">Assess whether the theories of absolute and comparative advantage are substantially undermined by their various limitations.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</si>
  <si>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The theory of absolute advantage.
• The theory of comparative advantage.
• How these theories could be used in the real world.
• The assumptions underlying these theories, such as in relation to only two products being traded, the existence of perfect competition in both product and factor markets, no transport costs, production subject to constant returns to scale and no restrictions on trade.
• The limitations of these theories, such as in relation to the fact that trade will involve more than two products, perfect competition will not apply to all markets, there will costs of transport, producers may experience economies of scale, reducing the costs of production, and there may well be trade restrictions in different parts of the world in the form of different methods of trade protection.
(Up to 8 marks)
AO3 Evaluation
• Considers the various assumptions of the theories
• In conclusion, are the theories substantially undermined by their various limitations?
Accept all valid responses.
(Up to 4 marks)
AO1 Knowledge and understanding and AO2 Analysis: 8
AO3 Evaluation: 4</t>
  </si>
  <si>
    <t xml:space="preserve">In the second part of the question, candidates were required to assess whether the theories of absolute advantage and comparative advantage were substantially undermined by their various limitations. Many candidates did not seem to have very much of an understanding of such limitations and so decided to write all they knew on the two theories. However, some candidates did demonstrate an understanding of possible limitations and were able to analyse these, such as the fact that the theories were based on only two countries and that it was assumed that there were no transport costs. These candidates were able to offer some appropriate evaluation in terms of the unrealistic assumptions that underpinned the theories to reach a judgement as to the extent to which such assumptions undermined the theories.</t>
  </si>
  <si>
    <t xml:space="preserve">9708_w23_22_Q1a</t>
  </si>
  <si>
    <t xml:space="preserve">percentage change, data calculation, real price</t>
  </si>
  <si>
    <t xml:space="preserve">Oil producers – electric cars and diversification</t>
  </si>
  <si>
    <t xml:space="preserve">Using the data in Table 1.1, calculate the percentage change in the average real global price of oil between 2014 and 2020.</t>
  </si>
  <si>
    <t xml:space="preserve">• For an answer which clearly states the change is −57.4 % (2)
• For an answer that simply states a change of 57.4 % (1) and indicates this is a fall/decrease in the average real global price of oil (1)
• For an answer that states the price has fallen and does not provide an accurate figure (1 maximum)
Guidance Allow figures between 57% and 58%. Do not accept a negative value unless the answer is within −57% and −58%</t>
  </si>
  <si>
    <t xml:space="preserve">9708_s22_23_Q1bi (60%), 9708_s23_23_Q1a (67%), 9708_w25_22_Q1aii (65%)</t>
  </si>
  <si>
    <t xml:space="preserve">A simple calculation of a percentage change was all that was required for 2 marks. Most candidates gained full marks and those who did not, did so by either simply subtracting the two figures and producing an absolute rather than percentage figure OR by failing to show that the price had fallen. A minority of candidates were unable to calculate any meaningful figure.</t>
  </si>
  <si>
    <t xml:space="preserve">9708_w23_22_Q1b</t>
  </si>
  <si>
    <t xml:space="preserve">2.4.2, 2.1.5</t>
  </si>
  <si>
    <t xml:space="preserve">demand shift, fall in demand, price fall</t>
  </si>
  <si>
    <t xml:space="preserve">Explain why the price of oil on the world market fell in 2020.</t>
  </si>
  <si>
    <t xml:space="preserve">The pandemic/increased demand for electric cars led to a fall in demand for oil products (1) so the demand curve shifted to the left/this led to a surplus so producers were forced to reduce prices to sell (1).</t>
  </si>
  <si>
    <t xml:space="preserve">As the extract made quite clear, demand for oil had fallen due to the pandemic and demand for electric cars had increased. Most candidates were able to identify one reason for 1 mark. However, the second mark was missed by many candidates. Answers were often unable to establish a valid link between the fall in demand and the fall in price. For example, the need to reduce the price to reduce the resultant surplus. It is insufficient to state that this is due to a fall in demand. Simply drawing a demand and supply diagram with a shift to the left of the demand curve without any explanation is also insufficient. A mark of 1 was the most common score.</t>
  </si>
  <si>
    <t xml:space="preserve">9708_w23_22_Q1c</t>
  </si>
  <si>
    <t xml:space="preserve">supply shortage, costs of production, price increase, supply-side policy</t>
  </si>
  <si>
    <t xml:space="preserve">With the help of a diagram, explain why the supply problem referred to may lead to increases in the price of electric cars in the future and consider one policy that may be used to overcome this supply problem.</t>
  </si>
  <si>
    <t xml:space="preserve">The shortage of lithium may be caused by a fall in its supply or an increase in its demand (not matched by an increase in its supply). For an accurate supply and demand diagram showing the effect on the price of lithium and/or the price of electric cars due to either of these changes (1) explaining that this will add to the cost of production of electric cars (1) and therefore increase the price of electric cars (1).
IF an accurate supply and demand diagram is drawn to illustrate the increase in the price of electric cars without any reference to the price of lithium and its importance as a cost of production then 1 mark MAX.
Clearly there are several potential valid policies, but these must clearly address the problems identified in the data i.e., a worldwide shortage in the supply of lithium needed for car batteries in electric vehicles. Evaluation must therefore focus on increasing the supply of lithium and not electric cars and methods may include:
• R and D into alternative raw materials other than lithium or improve its extraction
• Tax and subsidy incentives to increase R and D
• Tax and subsidy incentives to increase the number of lithium mines.
Identify and explain valid policy and briefly explain how that this might overcome the problem of a lack of lithium (1)
Guidance Any valid way should be rewarded but it must clearly relate to the problems identified in the data and explain how the problem may be overcome for full marks.</t>
  </si>
  <si>
    <t xml:space="preserve">The supply problem referred to in the extract is the shortage of lithium – not the shortage of oil or electric cars, although the latter may be a consequence. The best candidates were able to draw an accurate diagram showing the impact of a fall in supply of lithium or an increase in demand for lithium not matched by an equivalent increase in supply, leading to an increase in its price. Lithium was then recognised as a cost of production and the resultant increase in the cost would then lead to an increase in the price of electric cars. The solution to the problem lay in increasing the supply of lithium or an alternative and any plausible policy was rewarded, if correctly explained. lthough many candidates gained 3 – 4 marks, most did not. The main reason for this was a lack of recognition that a shortage of lithium was the supply problem causing an increase in the price of electric cars and simply asserting a shift to the left in the supply of electric cars would cause the price to rise. Such answers rarely gained more than one mark as the solution was rarely grasped. Candidates need to be encouraged to fully explain the different stages in their analysis.</t>
  </si>
  <si>
    <t xml:space="preserve">9708_w23_22_Q1d</t>
  </si>
  <si>
    <t xml:space="preserve">structural unemployment, cyclical unemployment, diversification</t>
  </si>
  <si>
    <t xml:space="preserve">Explain whether unemployment caused by the diversification of petrostates away from oil and gas production is likely to be cyclical or structural and consider which type of unemployment is likely to be more damaging to these economies.</t>
  </si>
  <si>
    <t xml:space="preserve">Up to 4 marks for the explanation/analysis
For explaining that the potential unemployment in this situation is likely to be structural and why (1)
For analysis and comparison of the problems caused by both cyclical and structural unemployment (maximum of 2 marks if only one type of unemployment is considered) (3)
That leads to
Up to 2 marks for evaluation – these can only be awarded for relevant analysis of the problems.
• Must be related to issues faced by petrostates.
• Which must compare the problems of both types of unemployment within such economies?
• Reaches an overall and justified conclusion about which type of unemployment would be most damaging for these economies.
Guidance The explanation, analysis, and evaluation should consider both types of unemployment and points to consider may include:
• Structural unemployment is likely to be caused by problems within the supply side whereas cyclical unemployment is caused by a lack of AD in the economy.
• Long and short run impacts
• The ease of curing the different types of unemployment
• The potential costs to an economy</t>
  </si>
  <si>
    <t xml:space="preserve">This question was quite poorly answered by most candidates. The main error was in confusing unemployment caused by a fall in AD. Further weaknesses in responses lay in answers that simply explained the possible causes of each type and not the damaging effects of each, which is what the question had asked for. These damaging effects then needed to be evaluated by comparing them in terms of their seriousness to a petrostate and then a conclusion needed to be made. Again, such an evaluation was rare. Given the extent of the importance of the oil and gas industry to a petrostate, it would be expected that structural unemployment because of diversification would be most damaging.</t>
  </si>
  <si>
    <t xml:space="preserve">9708_w23_22_Q1e</t>
  </si>
  <si>
    <t xml:space="preserve">;4.4;6.1;1.3;</t>
  </si>
  <si>
    <t xml:space="preserve">4.4.4, 6.1.4, 1.3.4</t>
  </si>
  <si>
    <t xml:space="preserve">diversification, primary product dependence, investment, capital</t>
  </si>
  <si>
    <t xml:space="preserve">Assess whether diversification is likely to be more successful in Venezuela or Saudi Arabia as they reduce their dependence on oil production.</t>
  </si>
  <si>
    <t xml:space="preserve">Up to 4 marks for the explanation/analysis Answers should analyse the extent of the likely success of diversification for both economies.
• Up to 3 marks for valid analysis for Venezuela
• Up to 3 marks for valid analysis for Saudi Arabia (with a maximum of 4 marks overall)
If the answer is just a generalised discussion of the impact of diversification without any valid reference to Venezuela or Saudi Arabia, then a maximum of 1 mark
Up to 2 marks for evaluation
• that considers why the success of diversification may differ in each case.
• and reaches a justified conclusion as to which country’s economic growth is most likely to be impacted.
Guidance Clearly, according to the extract, the common problem for both economies is the forecast fall in oil demand led by the need to reduce carbon emissions and deal with climate change. However, as the data also makes clear, the impact of this will be different for countries such as Saudi Arabia and countries such as Venezuela, and the analysis and evaluation must refer to these differences for full marks. Points to consider from the extract may include:
• The relative wealth and access to both internal and external capital
• The relative focus on short- and long-term growth
• The relative ease of diversifying e.g., Saudi Arabia has already begun investing in renewable energy and tourism, whereas Venezuela is suffering high rates of emigration and lacks the funds to do so.
• The possible difference in the willingness of other economies to offer the needed support to Saudi Arabia and Venezuela respectively and the possible difference in the receptiveness to any aid offered.</t>
  </si>
  <si>
    <t xml:space="preserve">There was a great deal of stimulus material in the extract to answer this question which led to better answers than Question (d). However, although the question specifically asked whether diversification was likely to be more successful in Saudi Arabia or Venezuela, many candidates simply described the benefits of diversification in general or policies to bring it about which gained 0 marks. Evaluation tended to be easier for this question, providing the previous analysis was sound as it simply required a conclusion. Nevertheless, full marks were rare as candidates need to explain the points they are making and not simply copy out text – e.g., why does the relative wealth of both countries make it easier/more difficult to diversify? Consequently, marks of 1 + 1 + 1 were quite common as answers frequently lacked sufficient depth of explanation. Candidates do need to spend a little time explaining points rather than simply stating/asserting them.</t>
  </si>
  <si>
    <t xml:space="preserve">9708_w23_22_Q2a</t>
  </si>
  <si>
    <t xml:space="preserve">2.2.1, 2.2.2, 2.2.7</t>
  </si>
  <si>
    <t xml:space="preserve">PED, PED formula, total expenditure</t>
  </si>
  <si>
    <t xml:space="preserve">With the help of a formula, explain what is meant by the term price elasticity of demand for a product and consider the extent to which it allows an entrepreneur to determine the effect of price changes on the total expenditure on their product.</t>
  </si>
  <si>
    <t xml:space="preserve">Follow the point-based marking guidance at the top of this mark scheme and award:
• up to 3 marks for AO1 Knowledge and understanding
• up to 3 marks for AO2 Analysis
• up to 2 marks for AO3 Evaluation.
AO1 Knowledge and Understanding (max 3 marks)
For a clear understanding of the meaning of price elasticity of demand (1) plus an accurate formula (1) plus a clear understanding of what is meant by price elastic and price inelastic that refers to relative proportionate or percentage changes rather than large or small changes (1)
AO2 Analysis (max 3 marks)
Up to 2 marks for clear analysis of how total expenditure on a product is affected by price changes if the demand is price elastic.
Up to 2 marks for clear analysis of how total expenditure on a product is affected by price changes if the demand is price inelastic.
Note: as the question refers to price changes it is expected that answers should consider both price increases and price decreases. If either part of the analysis only considers a price rise or a fall, then a maximum of 1 mark for that part of the analysis. If both parts of the analysis consider a price rise or fall then a maximum mark of 2 i.e., 1 + 1.
AO3 Evaluation (max 2 marks)
Up to 2 marks for considering the extent to which the concept can help the entrepreneur and making a judgement.
• Consideration of the accuracy of the measure and the ease of calculation for an entrepreneur
• Consideration of other factors which may affect total expenditure on a product when price changes.
• Reserve 1 mark for a conclusion that focuses on the extent to which it allows the entrepreneur to determine the effect of price changes.
AO1 Knowledge and understanding: 3
AO2 Analysis: 3
AO3 Evaluation: 2</t>
  </si>
  <si>
    <t xml:space="preserve">9708_m24_22_Q3a (59%), 9708_s25_24_Q2a (57%)</t>
  </si>
  <si>
    <t xml:space="preserve">Apart from a few exceptions, the first two knowledge and understanding marks were generally given. For example, these two marks were given for an accurate formula and an understanding of the concept of PED. When faced with questions of this type though, candidates must explain elasticity values clearly and accurately. This requires explaining elasticity in terms of the percentage change in quantity demanded of a product because of a percentage change in the price of a product. It is equally acceptable to demonstrate this with a worked example, although unexplained diagrams would not be acceptable. Vague comments such as a small change causes a bigger change, or an increase in price leads to no change or a big change, will not be credited. Likewise, there is no need to explain all measures of elasticity unless the question asks for this and normally, all that is needed is to explain relatively elastic and inelastic. The lack of a third knowledge and understanding mark and analysis marks was usually because of a lack of precise explanation. Candidates also need to be further reminded that all part (a) questions have 2 marks for evaluation with 1 mark reserved for a conclusion. Many did refer to problems of accuracy and the ease of calculation, but this was not often explained and merely asserted, which is not creditworthy.</t>
  </si>
  <si>
    <t xml:space="preserve">9708_w23_22_Q2b</t>
  </si>
  <si>
    <t xml:space="preserve">;2.3;2.2;</t>
  </si>
  <si>
    <t xml:space="preserve">2.3.5, 2.2.8</t>
  </si>
  <si>
    <t xml:space="preserve">PES, XED, business decisions, growing economy</t>
  </si>
  <si>
    <t xml:space="preserve">Assess whether the concept of price elasticity of supply or cross elasticity of demand will be more useful to a business wanting to increase its total sales in a growing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</si>
  <si>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Analysis of the concept of price elasticity of supply may explain its use in increasing a business’ total sales by examining the following.
• Usefulness depends on the type of goods and whether decisions need to be made in the short run or long run.
• It may help businesses with regards to stock holding and decisions about which products to focus on
• It may help businesses make decisions about productive capacity and whether e.g., to invest in new technology BUT
• It depends on the accuracy of the data used to produce the value.
• This may change over time and the value may have little value in a growing economy.
• Some products, such as agricultural/perishable products, will naturally have a more price inelastic supply and knowledge of the value may have little use.
Analysis of the concept of cross elasticity of demand may explain its use in increasing a business’s total revenue by examining the following.
• It will mean the business understands the relationship between its product and others i.e., whether they are complements or substitutes.
• It also measures the closeness of the relationship and informs decisions about how quickly and the extent to which it should react for example if a competitor changes its prices.
• It should assist a business to develop a pricing strategy that maximises opportunities to generate more sales BUT
• The usefulness depends on the accuracy of the data and in a growing economy, it may not be possible to keep the value up to date. It is therefore often dependent on estimates that may be inaccurate.
• Businesses may not be able to act on the data by changing prices if their cost structure cannot be easily changed.
• Other variables other than cross elasticity of demand may be more important for example non price determinants such as brand loyalty.
Better answers will refer directly/implicitly to their usefulness to a business operating in a growing economy. Answers which do not are unlikely to gain more than L3 lower band.
One sided response i.e., those that only consider one concept or do not analyse the problems of at least one concept will not gain beyond L2.
AO3 Evaluation
• Consideration of the likely effectiveness of both measures in increasing total sales in a growing economy that assesses which is most likely to be effective. If there is no direct/implicit reference to a growing economy, then L1 upper maximum.
• Candidates may consider an alternative concept e.g., YED to assess whether sales would actually grow in these circumstances,
• A justified conclusion which is most likely to be effective.
Accept all valid responses.
A one-sided response cannot gain any marks for evaluation.
AO1 Knowledge and understanding and AO2 Analysis: 8
AO3 Evaluation: 4</t>
  </si>
  <si>
    <t xml:space="preserve">9708_s24_21_Q3b (69%)</t>
  </si>
  <si>
    <t xml:space="preserve">The focus of most answers was simply to define and explain the measures of price elasticity of supply and cross elasticity of demand, often involving detailed explanations of different elasticity values. Such an approach to part (b) questions is rarely likely to gain much credit as the focus of these questions will tend to be the use businesses make of such concepts rather than explaining in detail the measures themselves. In this instance, the question demanded an analysis of their usefulness to a business wanting to increase its sales when the economy is growing. Because of the tendency to simply define the concepts rather than focus on the question, marks tended to be quite low, and candidates need to be reminded of the need to focus answers on the question. As analysis tended to be weak, evaluation that directly compared the usefulness of both measures when an economy was growing was often missing or simply a summation of what had been said previously. Statements about the weaknesses of both measures is not evaluation and is credited simply as analysis unless a direct comparison is made. There was also an opportunity here to discuss an alternative measure, for example, YED, which may be more appropriate when an economy is growing, but few candidates took this approach.</t>
  </si>
  <si>
    <t xml:space="preserve">9708_w23_22_Q3a</t>
  </si>
  <si>
    <t xml:space="preserve">free goods, public goods, free-rider problem</t>
  </si>
  <si>
    <t xml:space="preserve">With the help of examples, explain the difference between free goods and public goods and consider the view that public goods can never be provided in a market economy.</t>
  </si>
  <si>
    <t xml:space="preserve">Follow the point-based marking guidance at the top of this mark scheme and award:
• up to 3 marks for AO1 Knowledge and understanding.
• up to 3 marks for AO2 Analysis
• up to 2 marks for AO3 Evaluation.
AO1 Knowledge and Understanding (max 3 marks) Free goods are not scarce and have zero opportunity cost/no prices as no factors of production are required to produce them (1) Public goods have two main characteristics of non-excludability and non- rivalry with a brief explanation of both terms (1) Provide accurate examples of both e.g., fresh air and street lighting respectively (1)
AO2 Analysis (max 3 marks)
Explanation of why each of the two characteristics of public goods lead to the free rider problem (1 + 1) and why this makes it impossible/unrealistic to charge a price for them so the market economy would not supply them and therefore they must be provided by the government (1)
AO3 Evaluation (max 2 marks)
• Consideration of the view that pure public goods can never be provided in a market economy unless they are directly funded by the government (1)
• Or could be considered to be quasi or semi-public goods in which case a price could be charged, and they could be provided by a market economy (1)
• Reserve one mark for a justified conclusion (1)
AO1 Knowledge and understanding: 3
AO2 Analysis: 3
AO3 Evaluation: 2</t>
  </si>
  <si>
    <t xml:space="preserve">9708_s21_21_Q2a (55%), 9708_s24_21_Q2a (67%), 9708_s25_22_Q2a (69%), 9708_w25_21_Q3a (55%), 9708_s26_21_Q2a (57%), 9708_s26_23_Q3a (64%)</t>
  </si>
  <si>
    <t xml:space="preserve">Marks for knowledge and understanding were generally sound. However, there is still some confusion at times in differentiating between and explaining the meaning of non-excludable and non-rivalry. Also, the choice of examples of public goods was occasionally incorrect. For example, roads, healthcare, parks, and education are not public goods. Analysis of why public goods can never be provided in a market economy was not as well done at times. Although most candidates recognised the free rider problem, this was often not well explained in the context of the two characteristics and was occasionally asserted as a problem. This resulted in many candidates not gaining marks for this section or a maximum of 1 mark. Once again, candidates need to be aware of the 2 marks being available for evaluation on part (a) questions and without any valid analysis, these final 2 marks are unlikely to be awarded as the evaluation cannot be considered as being justified.</t>
  </si>
  <si>
    <t xml:space="preserve">9708_w23_22_Q3b</t>
  </si>
  <si>
    <t xml:space="preserve">;3.1;1.6;1.4;</t>
  </si>
  <si>
    <t xml:space="preserve">3.1.2, 1.6.3, 1.6.4, 1.4.1</t>
  </si>
  <si>
    <t xml:space="preserve">imperfect information, merit goods, demerit goods, market economy, mixed economy</t>
  </si>
  <si>
    <t xml:space="preserve">The provision of merit and demerit goods differs from the provision of other private goods. Assess the view that the consequences of imperfect information are more serious in a market economy than in a mixed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</si>
  <si>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 analysis of how private goods (which include merit and demerit goods) are allocated within an economy through the demand and supply mechanism.
• An explanation of the existence of imperfect information with respect to merit and demerit goods and the associated problems of under or overconsumption.
• An explanation of how this is likely to lead different methods of allocation for both merit and demerit goods than for other private goods, (how other private goods are allocated and how this differs from the provision of merit and demerit goods and any other problems that may be associated with their allocation.)
• Analysis should consider the consequences of imperfect information in both a market and a mixed economy for the provision of merit and demerit goods compared to other private goods.
• Answers which do not compare the provision of merit/demerit goods in both a market economy and a mixed economy cannot gain more than L2.
AO3 Evaluation Points to consider include.
• Merit goods and demerit goods need government intervention because of the issues of under and over consumption due to imperfect information, so the market economy fails to operate efficiently.
• Other types of private good can be efficiently provided by the market economy without government intervention but the process of allocation may mean e.g., low-income groups do not have the same access to certain goods.
• Leading to a justified conclusion answering the question of whether the consequences of imperfect information are more serious in a market economy than a in mixed economy.
Accept all valid responses.
A one-sided response cannot gain any marks for evaluation.
AO1 Knowledge and understanding and AO2 Analysis: 8
AO3 Evaluation: 4</t>
  </si>
  <si>
    <t xml:space="preserve">Most candidates were able to distinguish between merit and demerit goods and explain their under and overconsumption respectively due to imperfect information. However, relatively few were able to differentiate between these goods and other private goods which was an important part of the analysis and kept many answers within Level 2. Likewise, the distinction between the two different types of economy was often given limited attention. As a result, marks of mid-Level 2 analysis and low Level 1 evaluation were common. Candidates do need to be encouraged to read the question carefully and ensure that answers focus on the assessment rather than the descriptive part of it in order to achieve higher level marks.</t>
  </si>
  <si>
    <t xml:space="preserve">9708_w23_22_Q4a</t>
  </si>
  <si>
    <t xml:space="preserve">6.1.3, 6.3.1</t>
  </si>
  <si>
    <t xml:space="preserve">terms of trade, balance of trade</t>
  </si>
  <si>
    <t xml:space="preserve">Explain the difference between the terms of trade and the balance of trade in goods and consider whether an economy should be more concerned about its terms of trade than its balance of trade in goods.</t>
  </si>
  <si>
    <t xml:space="preserve">Follow the point-based marking guidance at the top of this mark scheme and award: up to 3 marks for AO1 Knowledge and understanding. up to 3 marks for AO2 Analysis up to 2 marks for AO3 Evaluation.
AO1 Knowledge and Understanding (max 3 marks) The term of trade is a numerical measure of the relationship/ratio between export and import prices (1) with an accurate formula showing the measure as an index (1) whereas the balance of trade in goods measures the revenue earned from exports of goods minus the expenditure on imports of goods (1)
AO2 Analysis (max 3 marks) Analysis must consider issues concerning both the terms of trade and the balance of trade in goods. These may include:
• Up to 2 marks for an analysis of the effects of changes to the terms of trade e.g., relative change in competitiveness, increase in cost-push inflation, effects on balance of trade in goods and services.
• Up to 2 marks for an analysis of the effects of changes to the balance of trade e.g., an increase in the demand for exports ceteris paribus may lead to an increase in the balance of trade, impact on employment levels, economic growth, inflation.
• MAX 3 marks overall
AO3 Evaluation (max 2 marks)
Evaluation should use relevant analysis to consider the importance of both measures and make a judgement as to which one may be of most concern to an economy (1). Reserve one mark for a justified conclusion (1).
AO1 Knowledge and understanding: 3
AO2 Analysis: 3
AO3 Evaluation: 2</t>
  </si>
  <si>
    <t xml:space="preserve">This was clearly the least popular question on the paper and reflects candidate uncertainty about applying the difference between terms of trade and the balance of trade. Common errors included the fact that despite knowing the formula for terms of trade, candidates still often confuse the concept with balance of payments by then discussing the revenue and expenditure in relation to exports and imports as if they are the same measurement. For the balance of trade, this was often described as the difference between exports and imports which is too imprecise. It needed to be explained in terms of the difference between export revenue and import expenditure on goods. Consequently, appropriate analysis of the impact of changes in both measures and an evaluation of which measure would be of most concern was rarely in evidence. This remains an important part of the syllabus which requires more attention from candidates in revision.</t>
  </si>
  <si>
    <t xml:space="preserve">9708_w23_22_Q4b</t>
  </si>
  <si>
    <t xml:space="preserve">6.1.3, 6.3.4</t>
  </si>
  <si>
    <t xml:space="preserve">terms of trade, macroeconomic performance, PED for exports and imports</t>
  </si>
  <si>
    <t xml:space="preserve">Assess whether a rise or a fall in the terms of trade will benefit the macroeconomic performance of an open economy that is heavily dependent on international trade.</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</si>
  <si>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Better answers will examine the impacts on the wider economy i.e., employment, price stability, economic growth as well the on the current account. Reference will also be made to the dependency on international trade.
For a rise in the terms of trade:
• This may lower inflation if raw material import prices are lower.
• Depending on price elasticity of demand, it may lead to economic growth if the income earned from exports increases and a boost to employment.
• It may however lead to lower economic growth if it leads to a current account deficit.
For a fall in the terms of trade:
• Exports may be boosted, and this may lead to higher economic growth.
• It may reduce a current account deficit.
• It may however be a sign of a weak economy with exports that are less in demand and therefore lead to lower economic growth.
• If imports are price inelastic, this may lead to import cost-push inflation if the economy is highly dependent on imported goods.
• Answers which do not refer to the heavy dependence on international trade cannot gain more than L2.
• Answers which only refer to a rise or a fall in the terms of trade cannot gain more than L2.
• At least one negative effect in addition to positive effects (either for a rise or a fall in the terms of trade) should be considered within the analysis to gain lower L3.
AO3 Evaluation
• Evaluation should consider both price elasticity of demand for exports and imports and the dependency on international trade. N.B. reference to the Marshall-Lerner condition may be rewarded but must not be expected as that is an AL topic.
• The benefits and drawbacks of both a rise in the terms of trade and a fall in the terms of trade should be carefully considered and compared to form a judgement about their impact on the wider economy.
• This should lead to a considered conclusion about which is more likely to be of benefit.
Accept all valid responses.
A one-sided response cannot gain any marks for evaluation.
AO1 Knowledge and understanding and AO2 Analysis: 8
AO3 Evaluation: 4</t>
  </si>
  <si>
    <t xml:space="preserve">Unfortunately, due to confusion about what is measured by terms of trade, candidates rarely gained many marks for this question, despite showing correct formulae. For candidates who were able to discuss the impact of changing prices of exports and imports on macroeconomic performance, many did not gain more than Level 2 marks because points were often asserted rather than explained. For example, the impact of changes in prices in exports and imports are influenced by price elasticity of demand, terms of trade values can rise or fall, and the dependency on international trade will affect macroeconomic performance. Explained reference to all these factors was needed to fully answer the question and access Level 3 for analysis and evaluation.</t>
  </si>
  <si>
    <t xml:space="preserve">9708_w23_22_Q5a</t>
  </si>
  <si>
    <t xml:space="preserve">;4.3;4.6;</t>
  </si>
  <si>
    <t xml:space="preserve">4.3.5, 4.3.9, 4.3.12, 4.6.4</t>
  </si>
  <si>
    <t xml:space="preserve">AD shift, AS shift, demand-pull inflation, spare capacity</t>
  </si>
  <si>
    <t xml:space="preserve">With the help of a diagram(s), explain one reason for an increase in aggregate demand and one reason for an increase in aggregate supply and consider whether an increase in aggregate demand will always lead to inflation.</t>
  </si>
  <si>
    <t xml:space="preserve">Follow the point-based marking guidance at the top of this mark scheme and award:
• up to 3 marks for AO1 Knowledge and understanding.
• up to 3 marks for AO2 Analysis
• up to 2 marks for AO3 Evaluation.
AO1 Knowledge and Understanding (max 3 marks) Aggregate demand is the total demand for an economy’s goods and services at a given price level/it is the total of C + I + G +(X-M) (1) Aggregate supply is the total output that producers in an economy are willing and able to supply at a given price level (1) An accurate diagram showing AD and AS curves (1)
AO2 Analysis (max 3 marks) Analysis must explain a valid cause of an increase in AD (1) and a valid cause of an increase in AS (1) and show these increases by rightward shifts in both curves and the resultant impacts on the price level on an accurate diagram (1)
AO3 Evaluation (max 2 marks) Whether an increase in AD will always lead to an increase in the price level (inflation) will depend on the increase in AS and/or the shape of/position on the AS curve (1). This must be clearly explained, and reserve one mark for a valid judgement (1)
AO1 Knowledge and understanding: 3
AO2 Analysis: 3
AO3 Evaluation: 2</t>
  </si>
  <si>
    <t xml:space="preserve">9708_s24_23_Q4a (60%), 9708_w25_22_Q5a (59%), 9708_s26_23_Q4a (61%)</t>
  </si>
  <si>
    <t xml:space="preserve">Candidates need to be reminded that a simple rewording of economic concepts are not in themselves definitions. For example, it is not enough to define aggregate demand as simply total demand in economy or aggregate supply as simply total supply or output in an economy. This should be developed, for instance, with reference to a given price level or in the case of AD, an understanding of its components. Likewise, diagrams need to be precisely drawn and labelled and must refer to price level and real GDP/national output and also clearly show AD and AS and not simply S and D. However, many candidates did gain at least 2 KU marks. Here, an imprecise understanding of AS often meant failure to gain the 3rd mark. Analysis of the reasons for increases in AS and AD was generally sound. Occasionally, incomplete labelling of the diagram meant that all 3 marks were not awarded. Many candidates recognised that the shape of the AS curve and/or the relative degree of shifts in both would affect inflationary pressure and were able to gain evaluation marks.</t>
  </si>
  <si>
    <t xml:space="preserve">9708_w23_22_Q5b</t>
  </si>
  <si>
    <t xml:space="preserve">;4.6;6.3;</t>
  </si>
  <si>
    <t xml:space="preserve">consequences of inflation, international competitiveness, current account</t>
  </si>
  <si>
    <t xml:space="preserve">Assess whether the internal effects of inflation are more serious than the external effects of inflation for an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</si>
  <si>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The internal effects of inflation are those which affect the domestic economy directly and may include:
• Income redistribution
• Menu costs (or the costs to firms of having to change their prices frequently)
• Shoe leather costs (or the inconvenience of having to hold smaller quantities of cash/searching for the best rate of interest)
• Uncertainty in transactions
• But also, may provide a stimulus for output and be a sign of economic growth.
The external effects of inflation are those which affect its international trade and may include.
• Declining price competitiveness of exports and increased competitiveness for imports
• This may increase the current account deficit.
• May lead to a depreciation of the exchange rate.
• Uncertainty in international transactions
• But also, depending on price elasticity of demand, it may boost revenue from exports plus it will improve the terms of trade and may be a sign of increased demand for its goods and further stimulate output.
• Both internal and external effects need to be considered to gain more than L2.
• One positive effect (in addition to negative effects) only for internal or external can gain low L3.
• Positive effects and negative effects analysed for both internal and external can gain top L3.
AO3 Evaluation
• Consideration of both the internal and external effects of inflation for an economy
• An assessment of which effects are likely to be the most serious.
• A justified conclusion as to which effect is likely to be the most serious.
Accept all valid responses.
A one-sided response cannot gain any marks for evaluation.
AO1 Knowledge and understanding and AO2 Analysis: 8
AO3 Evaluation: 4</t>
  </si>
  <si>
    <t xml:space="preserve">9708_w21_22_Q4b (85%), 9708_w24_23_Q4b (64%), 9708_w25_24_Q1d (70%)</t>
  </si>
  <si>
    <t xml:space="preserve">This question was also often answered to a good standard, although candidates still find it difficult to evaluate whether one effect is more serious and often resort to summative statements and very simple conclusions. The effect of this is potentially to reduce the overall mark by 30 per cent even though KU and analysis of the individual effects may be sound. Where judgements are asked for, as in parts a) and b) of essays and in the relevant parts of Question 1, these must be given and more importantly, justified to access the full range of marks. However, overall analysis was good, and many candidates were able to distinguish between the internal and external negative effects. Some candidates were able to satisfactorily analyse the possible positive effects and these candidates were then able to go on to assess which effects were more serious. However, this depth of evaluation, as previously suggested, was relatively uncommon.</t>
  </si>
  <si>
    <t xml:space="preserve">9708_w23_23_Q1a</t>
  </si>
  <si>
    <t xml:space="preserve">4.4.2</t>
  </si>
  <si>
    <t xml:space="preserve">negative economic growth, recession</t>
  </si>
  <si>
    <t xml:space="preserve">China/US/UK – recovery from the COVID-19 recession</t>
  </si>
  <si>
    <t xml:space="preserve">Explain the meaning of ‘negative economic growth’.</t>
  </si>
  <si>
    <t xml:space="preserve">• It is a decrease/fall in national income/output (1) as measured by:
• GDP/RGDP/GNP (1)
• A movement within a correctly labelled PPC (if drawn) or a shift within it (1)</t>
  </si>
  <si>
    <t xml:space="preserve">This question was quite straightforward, and most candidates gained full marks. The most common errors and omissions were simply to repeat the term used in the question and/or to fail to refer to an official measure e.g., GDP.</t>
  </si>
  <si>
    <t xml:space="preserve">9708_w23_23_Q1b</t>
  </si>
  <si>
    <t xml:space="preserve">Justify</t>
  </si>
  <si>
    <t xml:space="preserve">recession, data interpretation</t>
  </si>
  <si>
    <t xml:space="preserve">Which country shown in Fig. 1.1 experienced the most severe recession in 2020? Justify your answer.</t>
  </si>
  <si>
    <t xml:space="preserve">• UK (1) because
• It had the biggest percentage fall in GDP (1)
• The other three economies performed consistently better than the OECD average (1)</t>
  </si>
  <si>
    <t xml:space="preserve">Again, a fairly straightforward question and many candidates gained both marks. However, although the first mark was fairly obviously for the UK, a significant minority were unable to gain the second mark as they were unable to make a reasoned justification for it having the most severe recession in comparison to other countries. Where the command word is ‘justify’, candidates need to be reminded to follow this instruction.</t>
  </si>
  <si>
    <t xml:space="preserve">9708_w23_23_Q1c</t>
  </si>
  <si>
    <t xml:space="preserve">causes of growth, export demand, government policy</t>
  </si>
  <si>
    <t xml:space="preserve">State two likely economic reasons why China experienced strong economic growth starting in the second quarter of 2020 and consider which of these is likely to have generated the greater rate of growth.</t>
  </si>
  <si>
    <t xml:space="preserve">Plausible reasons could include:
• The increased demand for exports of PPE (1)
• First to experience Covid and therefore the first to recover from it due to e.g., the speed of enforcing lockdowns. (1)
• Successful government policies – one mark per stated policy e.g., fiscal, and monetary policies (1)
Up to two marks for explaining why one of the stated reasons is likely to have generated the greatest growth. (1+1)</t>
  </si>
  <si>
    <t xml:space="preserve">This question awarded 2 marks for identifying two plausible reasons, both of which were identified in the text. Nevertheless, it was clear that some candidates had not read the source material carefully and were unable to identify two reasonable explanations. Another concern was the common lack of a reasoned judgement about which one may have generated the greater rate of growth. As such, evaluation marks were rare. Candidates must be aware that reasoned judgements need to be explained.</t>
  </si>
  <si>
    <t xml:space="preserve">9708_w23_23_Q1d</t>
  </si>
  <si>
    <t xml:space="preserve">;4.5;4.6;4.4;</t>
  </si>
  <si>
    <t xml:space="preserve">4.5.4, 4.6.4, 4.4.5</t>
  </si>
  <si>
    <t xml:space="preserve">economic recovery, employment, demand-pull inflation</t>
  </si>
  <si>
    <t xml:space="preserve">Assess how economic recovery is likely to have affected employment and price stability in China.</t>
  </si>
  <si>
    <t xml:space="preserve">Up to 4 marks for explanation/analysis:
• How a recovery may increase the components of AD i.e., C + G + I + X − M and how this may increase the level of employment (up to 2 marks)
• The possible impact on price stability which will depend on e.g., the position on the AS curve, the possibility of cost-push inflationary pressure (up to 2 marks).
Up to 2 marks for evaluation:
• The effects on employment and price stability will depend on the speed and the size of the recovery (1)
• For a justified conclusion (1)</t>
  </si>
  <si>
    <t xml:space="preserve">Whilst most candidates were able to explain the links between economic recovery, AD and therefore employment levels, few were able to further develop this AD/AS analysis into an assessment of the impact on price stability. This was often ignored or given little attention. Whether this was a result of a failure to read the question fully or an inability to accurately analyse both parts of the question is difficult to say. Candidates are reminded of the need to answer all of the question that is set. Evaluation was rare, possibly because of both sides not being covered. Consequently, marks were rarely above 2 out of a possible 6.</t>
  </si>
  <si>
    <t xml:space="preserve">9708_w23_23_Q1e</t>
  </si>
  <si>
    <t xml:space="preserve">;5.3;5.2;4.4;</t>
  </si>
  <si>
    <t xml:space="preserve">5.3.3, 5.3.4, 5.2.7</t>
  </si>
  <si>
    <t xml:space="preserve">expansionary monetary policy, fiscal policy, economic recovery</t>
  </si>
  <si>
    <t xml:space="preserve">Assess whether monetary policies are the best way for high-income countries such as the US and the UK to produce an economic recovery.</t>
  </si>
  <si>
    <t xml:space="preserve">Up to 2 marks for an analysis of the uses of monetary policy:
• An explanation of what monetary policy consists of
• How an expansionary monetary policy can be used to produce an economic recovery based on an increase in AD e.g., through reducing interest rates, increasing money supply e.g., through relaxing credit restrictions.
• Increasing price competitiveness of exports due to a fall in the exchange rate.
Up to 2 marks for an analysis of the drawbacks of monetary policy:
• Expansionary monetary policy may cause inflation.
• It depends upon consumer and business confidence and receptiveness towards reductions in interest rates.
• The possible effects on the cost of imports due to a fall in the exchange rate.
• Impact of time lags.
Up to 2 marks for evaluation:
• The degree of interest sensitivity on components of AD
• The impact of such policies is uncertain.
• Possible use of alternative policies
• Reserve 1 mark for a justified conclusion</t>
  </si>
  <si>
    <t xml:space="preserve">A number of candidates were able to convincingly explain both the instruments of monetary policy and how it may be used to produce an economic recovery. This was often analysed through the instrument of interest rates and more specifically, a reduction in them. Better answers analysed both the impact on domestic AD and also exchange rates as a result of money outflows. Much time was often spent on the way in which monetary policy could be used but less on the drawbacks, which led to a lack of balance at times. Candidates need to recognise that only 2 marks are generally awarded for analysis of only one side and in this case the drawbacks of monetary policy needed to be examined to gain the additional 2 analysis marks and access the final 2 evaluation marks. Nevertheless, part (e) often gained higher marks than part (d) because a drawback was often analysed, normally time lags, and evaluation was often accessed via reference to alternative policies being more appropriate, for example, fiscal policy. Marks of 4 were therefore common, although one sided answers could not gain more than 2. Section B Essays</t>
  </si>
  <si>
    <t xml:space="preserve">9708_w23_23_Q2a</t>
  </si>
  <si>
    <t xml:space="preserve">2.3.1, 2.3.3, 2.3.4</t>
  </si>
  <si>
    <t xml:space="preserve">PES, short run vs long run, smartphones</t>
  </si>
  <si>
    <t xml:space="preserve">The price elasticity of supply (PES) for a new smartphone is estimated to be 0.8 in the short run and 1.8 in the long run. Explain what these estimates mean for producers and consumers of smartphones and consider why the estimates differ.</t>
  </si>
  <si>
    <t xml:space="preserve">Follow the point-based marking guidance at the top of this mark scheme and award:
• up to 3 marks for AO1 Knowledge and understanding up to 3 marks for
AO2 Analysis
• up to 2 marks for AO3 Evaluation.
AO1 Knowledge and Understanding (max 3 marks)
Meaning of price elasticity of supply (1) an accurate formula (1) an explanation of what is meant by elastic/inelastic based on the responsiveness of changes in supply to changes in price (1).
AO2 Analysis (max 3 marks)
Analysis of why the values may differ due to e.g., the time period, level of stock, changes in the production process etc. Up to 2 marks for each reason explained. Maximum of 3 marks overall
AO3 Evaluation (max 2 marks)
An assessment as to why the impact on consumers and producers may differ according to these different estimates e.g., on availability, pricing and investment decisions.
AO1 Knowledge and understanding: 3
AO2 Analysis: 3
AO3 Evaluation: 2</t>
  </si>
  <si>
    <t xml:space="preserve">The knowledge and understanding in terms of a formula was generally sound. Candidates often however need to be more precise in their understanding of what is meant by elasticity. It measures the degree of responsiveness of a change (in this case supply) to a change in another variable (in this case price) It is not enough to say a change in price will lead to a big change in supply, rather a percentage increase in price will lead to a larger percentage increase in supply. When describing an elastic PES, application that explained the reasons why the PES value might move from inelastic in the short run to elastic in the long run was mixed and some candidates clearly confused PES and PED. Evaluation that assessed why the impact on consumers and producers of these estimates may differ was rarely well covered and is a skill that candidates need to develop. Nevertheless, there were some examples of very good answers from candidates.</t>
  </si>
  <si>
    <t xml:space="preserve">9708_w23_23_Q2b</t>
  </si>
  <si>
    <t xml:space="preserve">PED, XED, business decisions, smartphones</t>
  </si>
  <si>
    <t xml:space="preserve">Assess whether knowledge and understanding of price elasticity of demand (PED) or cross elasticity of demand (XED) is likely to be more useful to a producer of smartphones.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</si>
  <si>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Analysis of the benefits of using PED for a smartphone producer e.g., for raising / decreasing the price to maximise revenue.
• Analysis of the limitations of the use of using PED e.g., the figures are only estimates and may change over time.
• Analysis of the benefits of using XED for a smartphone producer e.g., to determine whether it is a complement or a substitute for a product produced e.g., by a different business to enable it to react to competitor pricing decisions.
• Analysis of the limitations of using XED e.g., other factors may have a greater influence e.g., brand loyalty to a competitor.
If limitations of only one measure are analysed then L3 mid-point maximum. If only one measure is analysed or no reference to smartphone producers then L2 maximum.
AO3 Evaluation
• Assessment of whether PED or XED is more useful to the producer.
• Need to use other sources of information in decision-making – e.g., YED.
• Justified conclusion.
Accept all valid responses.
A one-sided response cannot gain any marks for evaluation.
AO1 Knowledge and understanding and AO2 Analysis: 8
AO3 Evaluation: 4</t>
  </si>
  <si>
    <t xml:space="preserve">9708_w22_21_Q2b (70%), 9708_w23_21_Q2b (72%), 9708_m24_22_Q3b (62%), 9708_s26_24_Q2b (67%)</t>
  </si>
  <si>
    <t xml:space="preserve">Candidates need to be reminded that knowledge and understanding should be used to provide the foundation to analysis and should not be offered as an answer in itself. Many candidates wrote extensively about what PED and XED mean and the various elasticities, but did not address their usefulness to a producer of smartphones. As this is the question, such a display of knowledge could not gain more than level 1 and certainly no evaluation marks. Even the stronger answers were often unable to offer more than a generalised discussion. This type of question is common, where candidates must give an assessment of the usefulness of various elasticity measures. For this reason, it is important that candidates are confident analysing different elasticities.</t>
  </si>
  <si>
    <t xml:space="preserve">9708_w23_23_Q3a</t>
  </si>
  <si>
    <t xml:space="preserve">private good, public good, excludability, mass transit</t>
  </si>
  <si>
    <t xml:space="preserve">Explain why the provision of bus and local rail (mass transit) services in cities is classified as a private good not a public good and consider why such services might only be provided by the private sector.</t>
  </si>
  <si>
    <t xml:space="preserve">Follow the point-based marking guidance at the top of this mark scheme and award:
• up to 3 marks for AO1 Knowledge and understanding up to 3 marks for
AO2 Analysis
• up to 2 marks for AO3 Evaluation.
AO1 Knowledge and understanding (max 3 marks)
• Explanation of what is meant by excludability/non excludability (1)
• Explanation of what is meant by rivalry/non rivalry (1)
• Correct application to private and public goods (1)
AO2 Analysis (max 3 marks)
• Why is a mass transit service a private good with reference to both characteristics and therefore only provided by the private sector? (up to 2 marks)
• Why is a mass transit service not a public good with reference to both characteristics and therefore not provided by the public sector? (up to 2 marks)
AO3 Evaluation (max 2 marks)
• Assessment of whether a mass transit service might only be provided by the private sector with 1 mark reserved for a justified conclusion.
AO1 Knowledge and understanding: 3
AO2 Analysis: 3
AO3 Evaluation: 2</t>
  </si>
  <si>
    <t xml:space="preserve">Once again this is a popular type of question that is often not answered well. This is because of a lack of precision in separating and defining the terms rivalry/non-rivalry and excludability/non- excludability. As the non-excludability and non-rivalry characteristics lead to the free rider issue and hence the reason why it is only public goods that are unlikely to be produced by the private sector. Vague and imprecise definitions of these terms are unlikely to attract many marks. Clearly for this question, bus and local rail services are not public goods although many candidates confused them with merit goods and tried to argue they were or should be. Because they have the characteristic of rivalry and because it is possible to exclude consumers from using them by charging a price, they are private goods. However, the conclusion should be that this does not mean that they can only be offered by the private sector and will depend on the objectives of the public sector. Although this will differ from country to country, in terms of economics, this has to be the approach taken by candidates.</t>
  </si>
  <si>
    <t xml:space="preserve">9708_w23_23_Q3b</t>
  </si>
  <si>
    <t xml:space="preserve">3.2.2, 3.1.2</t>
  </si>
  <si>
    <t xml:space="preserve">subsidy, merit goods, opportunity cost, mass transit</t>
  </si>
  <si>
    <t xml:space="preserve">Assess whether bus and local rail systems in cities should receive substantial subsidies from governments.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</si>
  <si>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Explanation of what is meant by a subsidy (reward accurate diagrams if provided but these are not necessary) with reference to the impact on price and quantity.
• Likely advantages of a subsidy for mass transit systems e.g., it can be considered a merit good that helps lower income families, improves labour mobility, reduces road congestion, and improves air quality/reduces the use of private cars which may be considered to be a demerit good.
• Likely disadvantages of subsidies e.g., opportunity cost, poor decisions as a result of information failure, government inability to provide funding etc.
• If only 1 sided answer i.e., only advantages or disadvantages are discussed, then L2 maximum.
AO3 Evaluation
• For an evaluation of the relative importance of the advantages and disadvantages of subsidies that leads to a justified conclusion
Accept all valid responses.
A one-sided response cannot gain any marks for evaluation.
AO1 Knowledge and understanding and AO2 Analysis: 8
AO3 Evaluation: 4</t>
  </si>
  <si>
    <t xml:space="preserve">Most candidates were able to access at least level 2 analysis for this question. There is clearly a good understanding of the use of subsidies to increase the consumption of what may be considered subsidies, although many answers were unduly descriptive rather than analytical. Better answers clearly focused on the benefits including labour mobility and reduced use of cars, compared to the opportunity costs and promotion of alternative means of transport, including bicycles. However, strong evaluation was rare and tended to include only summative statements repeating points already made. Candidates need to remember that evaluation should consist of a full appraisal of the advantages and disadvantages of subsidies and a weighing up of the analysis of both to reach a conclusion. Summaries are unlikely to gain more than level 1, 1 mark.</t>
  </si>
  <si>
    <t xml:space="preserve">9708_w23_23_Q4a</t>
  </si>
  <si>
    <t xml:space="preserve">causes of unemployment, structural unemployment, cyclical unemployment, own economy</t>
  </si>
  <si>
    <t xml:space="preserve">With reference to a country that is known to you, explain the main causes of unemployment and consider which of these causes is most significant.</t>
  </si>
  <si>
    <t xml:space="preserve">Follow the point-based marking guidance at the top of this mark scheme and award:
• up to 3 marks for AO1 Knowledge and understanding up to 3 marks for
AO2 Analysis
• up to 2 marks for AO3 Evaluation.
AO1 Knowledge and understanding (max 3 marks)
• For an understanding of what is meant by/a definition of unemployment (1)
• For an understanding of what is meant by at least two types of unemployment (2  1)
AO2 Analysis (max 3 marks)
An analysis of the causes of these two types of unemployment and their significance applied to a named country known to the candidate. (up to 3 marks)
Note: If only 1 type of unemployment is analysed then 2 marks maximum. If there is no named country, then 1 mark maximum.
AO3 Evaluation (max 2 marks)
For an evaluation of which cause is the most significant in the named country leading to a justified conclusion (reserve 1 mark).
AO1 Knowledge and understanding: 3
AO2 Analysis: 3
AO3 Evaluation: 2</t>
  </si>
  <si>
    <t xml:space="preserve">9708_s24_21_Q5a (56%)</t>
  </si>
  <si>
    <t xml:space="preserve">This was the most popular question in Section C. Few candidates offered an overall definition of unemployment which was a key word in the question. Many candidates were also unable to clearly distinguish between cyclical, seasonal and structural unemployment with significant overlaps in explanation of the three types. Similarly, candidates also tended to focus on generalised and subjective reasons (often generous welfare payments) rather than one of the four key economic causes. However, there was some strong analysis at times and most candidates were able to reference an appropriate country. Again, rewardable evaluation was rare and when offered, it tended to be assertive or summative only. As ever this is unlikely to gain many marks.</t>
  </si>
  <si>
    <t xml:space="preserve">9708_w23_23_Q4b</t>
  </si>
  <si>
    <t xml:space="preserve">;5.4;4.5;5.2;</t>
  </si>
  <si>
    <t xml:space="preserve">5.4.4, 4.5.3, 5.2.7</t>
  </si>
  <si>
    <t xml:space="preserve">supply-side policy, long-term unemployment, demand-side policy</t>
  </si>
  <si>
    <t xml:space="preserve">Assess whether supply-side policy is the only way of reducing long-term unemployment in an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</si>
  <si>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Analysis of what is meant by supply side policy and how it can be applied to reduce long-term unemployment e.g., by retraining and updating skills, by providing information on job vacancies, by encouraging business start-ups etc.
• Analysis of the advantages of using supply side policy e.g., may be non- inflationary, may be more long-term etc.
• Analysis of the disadvantages of supply side policy e.g., may take a long time to have an effect, opportunity cost, receptiveness e.g., of the workforce, policies may not work depending on the type of unemployment e.g., demand side policy may be more applicable for cyclical unemployment.
• An analysis of the advantages and disadvantages of at least one alternative macroeconomic policy.
L3 lower-level max if only the advantages and disadvantages of supply side policy are analysed. L2 max if only advantages OR disadvantages of supply side policy are analysed.
AO3 Evaluation
• For an evaluation of whether supply side policy is the only way of reducing long term unemployment leading to a reasoned conclusion.
Accept all valid responses.
A one-sided response cannot gain any marks for evaluation.
AO1 Knowledge and understanding and AO2 Analysis: 8
AO3 Evaluation: 4</t>
  </si>
  <si>
    <t xml:space="preserve">9708_s24_22_Q4b (68%), 9708_w24_22_Q4b (65%), 9708_w25_23_Q4b (66%), 9708_s26_23_Q4b (59%)</t>
  </si>
  <si>
    <t xml:space="preserve">There were a number of strong responses confirming that many candidates are clearly able to analyse supply side policies effectively. The advantages and disadvantages of such policies were also discussed reasonably well. However, there was often a lack of focus on long-term unemployment and distinctions were not always clearly made between the long term and the short term. As such, this led to a degree of confusion in separating and assessing the possible effects on AD and AS in relation to reducing long term unemployment. Clearly the main advice is to focus on the question that is set and avoid writing everything the candidate knows about a topic in general terms. As is the case with part (b) questions, evaluation tended to be imprecise and summative rather than focused on answering the question.</t>
  </si>
  <si>
    <t xml:space="preserve">9708_w23_23_Q5a</t>
  </si>
  <si>
    <t xml:space="preserve">tariffs, current account deficit, expenditure switching, retaliation</t>
  </si>
  <si>
    <t xml:space="preserve">Explain how import tariffs might correct an imbalance in the current account of the balance of payments and consider whether these tariffs are the best way of correcting such an imbalance.</t>
  </si>
  <si>
    <t xml:space="preserve">Follow the point-based marking guidance at the top of this mark scheme and award:
• up to 3 marks for AO1 Knowledge and understanding up to 3 marks for
AO2 Analysis
• up to 2 marks for AO3 Evaluation.
AO1 Knowledge and understanding (max 3 marks)
• What is meant by an import tariff (1)
• What is measured by the current account of the balance of payments (1)
• What is meant by an imbalance in the current account of the balance of payments in terms of a surplus or deficit. (1)
AO2 Analysis (max 3 marks)
For an analysis of how import tariffs will affect the prices of imports (1) and how this may affect domestic consumption on imports (1) and how this may correct the imbalance (1)
Note: a diagram may be useful but cannot be expected.
AO3 Evaluation (max 2 marks)
Final effect is uncertain e.g., as a result of the PED for imports (1); other policies can be used (1); whether trading competitors retaliate (1). Reserve (1) for a justified conclusion.
AO1 Knowledge and understanding: 3
AO2 Analysis: 3
AO3 Evaluation: 2</t>
  </si>
  <si>
    <t xml:space="preserve">Most candidates were able to define what a tariff is and analyse its impact on the price and consumption of imports. Less successful was knowledge and understanding of the meaning of the current account and an imbalance. For example, some candidates stated that it was simply the difference between exports and imports when what was needed was a recognition of the components and the fact that an imbalance was the result of total incomings exceeding total outgoings or vice versa. Evaluation continues to be weak for part (a) and part (b) answers and candidates should be reminded of the need to form judgements based on analysis and not simply assert points or offer summative, often repeated comments. Answers which worked well referred to e.g., PED of imports or possible retaliation of trading partners that make the final outcome uncertain, but such answers were uncommon.</t>
  </si>
  <si>
    <t xml:space="preserve">9708_w23_23_Q5b</t>
  </si>
  <si>
    <t xml:space="preserve">6.3.4</t>
  </si>
  <si>
    <t xml:space="preserve">current account deficit, exchange rate, external debt</t>
  </si>
  <si>
    <t xml:space="preserve">A country has a persistent deficit on the current account of its balance of payments. Assess the likely consequences for the domestic and external economy of this country.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</si>
  <si>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Explanation of what is meant by a persistent deficit on the current account of the balance of payments.
• Analysis of the consequences of a persistent deficit on the domestic economy e.g., in terms of employment levels, economic growth, inflation, living standards, government budget, business confidence, possible need to restructure the economy etc.
• Analysis of the consequences of a persistent deficit on the external economy e.g., exchange rates, ability to trade, need for imports, debt interest, etc.
Note: accept answers that refer to the impact on other economies when another economy has a persistent current account deficit.
Max L 2 if only the consequences on the domestic or the external economy are considered.
AO3 Evaluation That clearly considers the likely consequences on both parts of the economy and comes to a conclusion as to the most likely consequences.
Accept all valid responses.
A one-sided response cannot gain any marks for evaluation.
AO1 Knowledge and understanding and AO2 Analysis: 8
AO3 Evaluation: 4</t>
  </si>
  <si>
    <t xml:space="preserve">9708_w25_23_Q5a (58%), 9708_s26_23_Q5b (62%)</t>
  </si>
  <si>
    <t xml:space="preserve">This question was often answered quite poorly, mainly because many candidates were unable to clearly distinguish between the domestic and external economy. Likewise, only the negative consequences tended to be considered. Consequently, level 2 analysis marks tended to be the maximum given with many responses failing to get beyond level 1. Rewardable evaluation was very rare. Candidates need to ensure they fully understand how the domestic economy is affected and how this differs to the external economy i.e., trading patterns and exchange rates etc.</t>
  </si>
  <si>
    <t xml:space="preserve">9708_m24_22_Q1a</t>
  </si>
  <si>
    <t xml:space="preserve">real GDP growth, data comparison</t>
  </si>
  <si>
    <t xml:space="preserve">Japan/US – artificial intelligence</t>
  </si>
  <si>
    <t xml:space="preserve">Using the information in Table 1.1, compare the change in projected real GDP growth of Japan with that in the US between 2022 and 2025.</t>
  </si>
  <si>
    <t xml:space="preserve">Both countries experience positive growth over the period (1) . Both experience a slowdown in the rate of growth (1). Over the period Japanese growth is slower than the USA (1). Average Growth rate in Japan over the period is 1.5%, USA 2.7% (1).</t>
  </si>
  <si>
    <t xml:space="preserve">Many candidates appeared to miss the command word compare and the emphasis on change in projected real growth between 2022 and 2025 and simply listed changes in trends within the countries over the entire period with no attempt at comparison. A further common error was to misinterpret the data as showing a decline in economic growth when in fact economic growth continued albeit at a slower rate. Consequently, full marks were rare, and many answers were too long and contained irrelevant detail. For such a question, all that is needed for 2 marks are two separate clear points of comparison and nothing else.</t>
  </si>
  <si>
    <t xml:space="preserve">9708_m24_22_Q1b</t>
  </si>
  <si>
    <t xml:space="preserve">1.5.3</t>
  </si>
  <si>
    <t xml:space="preserve">PPC shift, investment, technology</t>
  </si>
  <si>
    <t xml:space="preserve">With the help of a production possibility curve (PPC) diagram, demonstrate the likely impact of increased investment in AI on the Japanese economy in the long run.</t>
  </si>
  <si>
    <t xml:space="preserve">Correctly labelled diagram and curved or straight line PPC (1) . Outward shift of PPC indicating increased economic capacity to produce (1) .</t>
  </si>
  <si>
    <t xml:space="preserve">9708_w25_23_Q1c (56%)</t>
  </si>
  <si>
    <t xml:space="preserve">The command word here was demonstrate (on a diagram). All that was needed was a diagram that was correctly labelled with 2 goods (one on each axis) with 2 accurate curves (with a clear shift to the right) each touching the axes labelled PPC 1 and PPC 2 with the direction of travel indicated by an arrow. Nothing else was needed with such a command word for 2 marks and if drawn as stated, no further explanation was necessary. Simple responses such as this were rare, and a significant number of responses labelled the axes as P and Q or did not provide labels at all and some failed to move the curve to the right. The curves were frequently unlabelled and relied on explanations to identify them as PPC curves although this was accepted for a second mark. Candidates should be reminded to take note of and understand the different command words.</t>
  </si>
  <si>
    <t xml:space="preserve">9708_m24_22_Q1c</t>
  </si>
  <si>
    <t xml:space="preserve">2.1.6, 2.4.2</t>
  </si>
  <si>
    <t xml:space="preserve">supply shift, technology, costs of production</t>
  </si>
  <si>
    <t xml:space="preserve">With the help of a demand and supply diagram, consider the impact of additional investment in AI on the price and output of a US carmaker.</t>
  </si>
  <si>
    <t xml:space="preserve">Correctly labelled diagram showing initial equilibrium (1) . Rightward shift in Supply curve establishing new equilibrium a lower P and increased output (1).
Explanation of changes with clear reference to diagram provided. Correct shift (1). Correct new equilibrium (1).</t>
  </si>
  <si>
    <t xml:space="preserve">9708_w25_22_Q1b (55%)</t>
  </si>
  <si>
    <t xml:space="preserve">The first three marks for this question should have been straightforward i.e., a simple, correctly labelled S and D diagram showing an expected shift to the right of the supply curve together with the original equilibrium price and quantity and the new equilibrium price and quantity and a valid explanation of the cause of the shift. This was the expected change resulting from an increase in investment and not a shift to the left of the supply curve nor a shift to the right of the demand curve. Although many candidates did gain these first three marks, a significant number did not either because of inaccurate shifts in the supply and demand curves or no shifts at all or did not offer a valid explanation for the cause of the shift. The final mark was reserved for an evaluation of why this might not happen (the command word being consider) but this was largely ignored in most cases.</t>
  </si>
  <si>
    <t xml:space="preserve">9708_m24_22_Q1d</t>
  </si>
  <si>
    <t xml:space="preserve">technological unemployment, structural unemployment, job creation</t>
  </si>
  <si>
    <t xml:space="preserve">Assess the possible impact on unemployment in Japan as a result of the increased investment in AI.</t>
  </si>
  <si>
    <t xml:space="preserve">In the short run many jobs may be lost as AI capital equipment replaces labour operated machines and vehicles. E.g., Thousands of truck drivers lose their jobs: (1) for statement, (1) for example. Extra mark for some further elaboration (1).
In the long run more job opportunities may arise as was the case with the internet. E.g., High tech maintenance jobs for AI machinery. (1) for statement, (1) for example. Extra mark for some further elaboration (1).
Max of 5 marks plus 1 for Evaluated Conclusion.</t>
  </si>
  <si>
    <t xml:space="preserve">The focus of this question was firmly on the impact of increased investment in AI on unemployment in Japan. It was not concerned with the impact on the economy (except insofar as this impacted on unemployment) nor government spending nor the social impact of unemployment – all of which were explored in some detail by some candidates. It also did not require definitions of unemployment or different types of unemployment beyond structural unemployment. Many answers spent far too long in a discussion of these aspects rather than answering the question. Candidates also need to be reminded of the need to explain and justify statements – e.g., it is not enough to state that unemployment will reduce as AI will create new jobs without giving examples. However, despite some irrelevance at times, most candidates were able to score 1 mark for both perspectives. Normally 1 for explaining that AI would lead to mainly lower skilled, repetitive jobs disappearing and 1 for explaining the new roles that may appear, e.g., AI programmers. Evaluation was rare but better answers suggested that the overall impact would depend on the rate of AI development and the structure of the economy e.g., a stronger service sector would see smaller reductions in employment than one with a high level of manufacturing. The amount of government budget that could be used for training etc., was also discussed by some candidates within the evaluation but again, this was not common.</t>
  </si>
  <si>
    <t xml:space="preserve">9708_m24_22_Q1e</t>
  </si>
  <si>
    <t xml:space="preserve">comparative advantage, specialisation, technology</t>
  </si>
  <si>
    <t xml:space="preserve">Assess the likely impact of the growth of AI on the specialisation and trade of a country such as Japan.</t>
  </si>
  <si>
    <t xml:space="preserve">Up to 3 marks for a clear explanation of the potential benefits of AI on both specialisation and trade of a country. E.g., increased levels of productivity, impact on costs/prices, development of comparative advantages improvements in international competitiveness etc.
Up to 3 marks for a clear explanation of the potential drawbacks of AI on both specialisation and trade of a country. E.g., problems of over-specialisation – excessive use of non-renewable resources, over-reliance on one industry; implications for structural unemployment
Max of 5 marks plus 1 for Evaluated Conclusion.</t>
  </si>
  <si>
    <t xml:space="preserve">This question was not answered particularly well, and many candidates attempted to repeat the answer for 1(d) by discussing the impact on unemployment. The main focus should have been on specialisation and trade as evident from the question, but many candidates missed or ignored the link to trade. Where trade was discussed at all, assertions were often made suggesting that specialisation would lead e.g., to increased exports without explaining why and this could not be credited. Often a brief reference was made to a reduction in costs/increased price competitiveness for 1 mark. Candidates were also often able to suggest some problems with over specialisation e.g., the depletion of non-renewables or over reliance on other countries, but again this was not always explained by linking this to the growth of AI. Consequently, overall, total marks for this question were rarely above 2 as effective evaluation was rare.</t>
  </si>
  <si>
    <t xml:space="preserve">9708_m24_22_Q2a</t>
  </si>
  <si>
    <t xml:space="preserve">;3.2;2.4;2.2;</t>
  </si>
  <si>
    <t xml:space="preserve">3.2.1, 2.4.2</t>
  </si>
  <si>
    <t xml:space="preserve">indirect tax, tax incidence, PED</t>
  </si>
  <si>
    <t xml:space="preserve">With the help of a demand and supply diagram, explain how the introduction of an indirect tax affects equilibrium in a market and consider the extent to which the incidence of the tax will fall on the consumer.</t>
  </si>
  <si>
    <t xml:space="preserve">Follow the point-based marking guidance at the top of this mark scheme and award: up to 3 marks for AO1 Knowledge and understanding up to 3 marks for AO2 Analysis up to 2 marks for AO3 Evaluation.
AO1 Knowledge and Understanding (max 3 marks) An accurate definition of an indirect tax (1) shown through an accurate diagram, correctly labelled axes and equilibrium price and quantity (1). Understanding that indirect taxes are used to discourage the consumption of demerit goods (1).
AO2 Analysis (max 3 marks) Uses the diagram to explain that an indirect tax shifts the supply curve to the left (1), which causes an increase in the price of the good to the consumer (1) and reduces the quantity demanded (1).
AO3 Evaluation (max 2 marks) One mark for a valid explanation that the incidence of tax borne by the consumer will depend on the PED of the product (1), (and that the more price inelastic demand is the greater the proportion of the tax is passed onto the consumer (1)), with a second mark for a justified conclusion.
AO1 Knowledge and understanding: 3
AO2 Analysis: 3
AO3 Evaluation: 2</t>
  </si>
  <si>
    <t xml:space="preserve">9708_s26_22_Q1c (63%)</t>
  </si>
  <si>
    <t xml:space="preserve">Candidates appeared to find this question accessible with many gaining 5 marks or more. Most were able to accurately define what an indirect tax is and provide accurate examples although a clear explanation of what is meant by the incidence of indirect tax or what one is used for was rarer. Diagrams were generally accurate although some candidates wrongly shifted the demand curve because of the price rise. The rise in price was generally shown correctly although the fall in quantity demanded was often less clear with many simply referring to a fall in Q or even quantity supplied when the question was focused on the impact on consumers. The evaluation was often generally quite good and correctly identified PED as the main determinant of the incidence. Development was occasionally marred by an inability to explain why this was so in terms of the responsiveness of demand in relation to whether the PED value was elastic or inelastic. Some candidates also discussed the incidence on producers which was irrelevant.</t>
  </si>
  <si>
    <t xml:space="preserve">9708_m24_22_Q2b</t>
  </si>
  <si>
    <t xml:space="preserve">3.2.6, 1.6.4, 3.1.2, 3.2.1</t>
  </si>
  <si>
    <t xml:space="preserve">provision of information, demerit good, indirect tax, regulation</t>
  </si>
  <si>
    <t xml:space="preserve">Assess whether the improved provision of information is likely to be the best method to reduce the consumption of demerit goods.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</si>
  <si>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The meaning of improved provision of information
• How improved information would reduce the consumption of demerit goods; consumers are aware of the ‘true’ costs from consuming demerit goods and respond by reducing their demand – this may include a shift to the left of the demand curve, or a shift to left of the MPC curve
• An explanation of the limitations of improved information – habitual consumption, peer pressure, irrational behaviour
• An explanation of an alternative policy – taxation, minimum prices, regulation backed by fines.
AO3 Evaluation
• Consideration that fully assesses the relative effectiveness of the policies analysed in reducing the consumption of demerit goods and arrives at a reasoned conclusion concerning whether improved provision of information is the ‘best’ approach.
Accept all valid responses.
AO1 Knowledge and understanding and AO2 Analysis: 8
AO3 Evaluation: 4</t>
  </si>
  <si>
    <t xml:space="preserve">9708_s24_22_Q3b (76%), 9708_s25_21_Q3b (59%)</t>
  </si>
  <si>
    <t xml:space="preserve">Full and explained analysis was quite rare within answers to this question. Many candidates asserted outcomes which generally suggested that provision of information was not the best way without explaining why and preferring alternative methods of reducing the consumption of demerit goods which effectively had the same problem attached, namely inelastic PED. Candidates also spent a great deal of unproductive time explaining what demerit goods are, which should have been dealt with very briefly instead of explaining the advantages and disadvantages of providing information from an economics perspective. Balanced evaluation that carefully considers all sides of the various arguments continue to be rare and balanced conclusions rarer. Candidates should note that summative comments with little or no attempt to compare the strength of arguments are not considered to be evaluation.</t>
  </si>
  <si>
    <t xml:space="preserve">9708_m24_22_Q3a</t>
  </si>
  <si>
    <t xml:space="preserve">2.2.1, 2.2.2, 2.2.3</t>
  </si>
  <si>
    <t xml:space="preserve">YED, YED formula, normal goods, inferior goods</t>
  </si>
  <si>
    <t xml:space="preserve">With the help of a formula, explain the meaning of income elasticity of demand and consider the extent to which a rise in income will increase the consumption of all goods and services.</t>
  </si>
  <si>
    <t xml:space="preserve">Follow the point-based marking guidance at the top of this mark scheme and award: up to 3 marks for AO1 Knowledge and understanding up to 3 marks for AO2 Analysis up to 2 marks for AO3 Evaluation.
AO1 Knowledge and Understanding (max 3 marks) An accurate definition of income elasticity of demand (1) and accurate formula (1). Understanding of the difference between normal and inferior goods (1).
AO2 Analysis (max 3 marks) Normal goods have a positive value (1). Uses a diagram (upwards sloping income demand curve) or the formula to show why an increase in income increases the consumption of such goods (1) – this should be justified with an appropriate example (1).
AO3 Evaluation (max 2 marks) One mark for a valid explanation that if the good is inferior good then the demand for the good will fall when incomes rise (1) as consumers adjust their spending habits and consumer more normal/luxury goods. The second mark is for a justified conclusion.
AO1 Knowledge and understanding: 3
AO2 Analysis: 3
AO3 Evaluation: 2</t>
  </si>
  <si>
    <t xml:space="preserve">9708_s22_22_Q3a (56%), 9708_s23_21_Q3a (64%), 9708_w23_22_Q2a (59%), 9708_s25_24_Q2a (68%)</t>
  </si>
  <si>
    <t xml:space="preserve">Despite some errors with incorrectly reversing the formula, most candidates were able to gain the first three knowledge and understanding marks – formula + definition in terms of percentage or proportionate responsiveness + a clear distinction between the responsiveness of demand for normal and inferior goods OR elastic and inelastic YED. Most were able to identify and link a positive coefficient to normal goods and many were able to refer to an appropriate example although some examples were far too generic to be credited. However, few referred back to the formula or an explained diagram to provide more developed analysis or the significance of the positive coefficient when explaining the responsiveness of normal goods. For evaluation, many candidates simply stated that the existence of inferior goods meant that a rise in income leading to a decrease in their consumption proved that not all goods and services experienced a rise without developing this point. This should have been developed to explain that this was due to a switch to normal goods for credit together with a justified conclusion as to the extent of the shift.</t>
  </si>
  <si>
    <t xml:space="preserve">9708_m24_22_Q3b</t>
  </si>
  <si>
    <t xml:space="preserve">Assess whether an estimate of the price elasticity of demand for a product is likely to be more useful to a firm than an estimate of its price elasticity of supply.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</si>
  <si>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The meaning of the terms PED/PES
• How PED estimates would be useful to business owners –it would indicate the likely changes to revenue in response to changes in the price of a product.
• An explanation of the limitations of PED estimates – does not consider the prices of complements/substitutes; income level of the consumer; trends; ignores the relevance of costs so changes to profits are uncertain.
• An explanation of how PES estimates would be useful to business owners - the potential to invest in spare capacity which can be used if demand rises; increase overtime payments to increase production; whether or not to outsource to other firms who can meet supply.
• An explanation of the limitations of PES estimates – e.g., practical ability to increase the PES; the associated costs in making supply more elastic/responsive.
AO3 Evaluation
• Consideration that fully assesses the relative effectiveness of both PED/PES estimates and their implications for business decision-making and arrives at a reasoned conclusion concerning which concept (or otherwise) is most useful.
Accept all valid responses.
AO1 Knowledge and understanding and AO2 Analysis: 8
AO3 Evaluation: 4</t>
  </si>
  <si>
    <t xml:space="preserve">9708_s21_21_Q3b (69%), 9708_w21_21_Q3b (57%), 9708_w21_23_Q3b (60%), 9708_w23_21_Q2b (56%), 9708_w23_23_Q2b (62%), 9708_w25_21_Q2b (63%), 9708_s26_24_Q2b (59%)</t>
  </si>
  <si>
    <t xml:space="preserve">Similar questions about the use businesses make of various elasticity measures have been set for a number of years. Most candidates adopted an approach by describing all they know about, in this case, PED and PES regardless of its relevance to the question. This involved exhaustive lists of formulae and different measures of elasticity, often with diagrams and with little or no attempt to relate the information to the question – the majority of which gained little or no credit. Candidates often claimed that PED helped businesses to set prices or even, correctly, that e.g., an inelastic PED meant that prices could be increased without explaining why. Such approaches did not gain high marks, PES was often dealt with in a more obscure way and clear explanations of its use were rare and often restricted to a vague understanding that it related to a relationship between price and the ability to quickly adjust output levels. Evaluation was generally assertive and rarely gained many marks.</t>
  </si>
  <si>
    <t xml:space="preserve">9708_m24_22_Q4a</t>
  </si>
  <si>
    <t xml:space="preserve">6.4.3, 6.4.5</t>
  </si>
  <si>
    <t xml:space="preserve">depreciation, AD, real output, net exports</t>
  </si>
  <si>
    <t xml:space="preserve">Explain what is meant by a depreciation of the exchange rate and consider whether a depreciation is likely to increase domestic real output.</t>
  </si>
  <si>
    <t xml:space="preserve">Follow the point-based marking guidance at the top of this mark scheme and award: up to 3 marks for AO1 Knowledge and understanding up to 3 marks for AO2 Analysis up to 2 marks for AO3 Evaluation.
AO1 Knowledge and Understanding (max 3 marks) An accurate definition the exchange rate (1). Understanding that there is likely to be a depreciation of the exchange rate if the demand for a currency falls (1) or there is an increase in the supply of a currency (1).
AO2 Analysis (max 3 marks) A depreciation of the exchange rate will reduce (increase) the perceived price of exports (imports) (1) which will increase the value of both (X-M) and aggregate demand (1) and increase the rate of domestic real output (1) .
AO3 Evaluation (max 2 marks) One mark for a valid explanation that this assumes that the economy is not operating at full capacity (1) or depends on the elasticity of demand for goods that are traded internationally (1). The second mark is for a justified conclusion.
AO1 Knowledge and understanding: 3
AO2 Analysis: 3
AO3 Evaluation: 2</t>
  </si>
  <si>
    <t xml:space="preserve">9708_m23_22_Q5a (62%), 9708_s23_21_Q5a (62%), 9708_s26_23_Q5a (55%)</t>
  </si>
  <si>
    <t xml:space="preserve">Most candidates were able to gain 2 – 3 marks for knowledge and understanding i.e., for a definition of an exchange rate plus what is meant by a depreciation (often grouped together) together with a cause of a depreciation either as a fall in demand or a rise in supply of the currency. Most candidates were able to recognise the perceived fall in the price of exports and the perceived rise in the price of imports. However, many candidates struggled to explain the link between these price changes and the value of net exports and from there, the possible increase in domestic real output. Many seemed to assert such changes without explaining why they may occur which in turn reduced overall marks. There was some pleasing evaluation mainly based on the impact on raw material import prices causing cost push inflation and therefore limiting any increase in domestic real output. Other evaluation related to the PED for imports and export and the need for the values being price elastic. The overall message to candidates is that statements/conclusions must be explained to gain credit.</t>
  </si>
  <si>
    <t xml:space="preserve">9708_m24_22_Q4b</t>
  </si>
  <si>
    <t xml:space="preserve">;6.5;5.2;</t>
  </si>
  <si>
    <t xml:space="preserve">6.5.2, 5.2.6</t>
  </si>
  <si>
    <t xml:space="preserve">contractionary fiscal policy, current account deficit, expenditure reduction</t>
  </si>
  <si>
    <t xml:space="preserve">Assess whether contractionary fiscal policy is likely to be the best way to reduce a current account deficit on the balance of payments.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</si>
  <si>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Understanding of the terms fiscal policy/current account deficit.
• How contractionary fiscal policy might reduce a current account deficit – this may include increased taxation might reduce imports/reduce demand-pull inflationary pressure resulting in improved international price competitiveness.
• An explanation of the limitations of fiscal policy – impact on domestic growth, unemployment.
• An explanation of an alternative policy – monetary and/or supply side policies, minimum prices, regulation backed by fines.
AO3 Evaluation
• Consideration that fully assesses the relative effectiveness of the policies analysed in reducing a current account deficit and arrives at a reasoned conclusion concerning whether fiscal policy is the ‘best’ approach .
Accept all valid responses.
AO1 Knowledge and understanding and AO2 Analysis: 8
AO3 Evaluation: 4</t>
  </si>
  <si>
    <t xml:space="preserve">9708_w21_21_Q4b (62%), 9708_s22_22_Q4b (56%), 9708_w22_21_Q4b (73%), 9708_m23_22_Q5b (64%), 9708_s23_22_Q4b (72%), 9708_w24_23_Q5b (74%), 9708_w25_22_Q4b (69%), 9708_w25_23_Q5b (64%)</t>
  </si>
  <si>
    <t xml:space="preserve">Responses often focused on knowledge and understanding of what is meant by contractionary fiscal policy and a current account deficit rather than analysing how the former may reduce the latter. Many candidates approached the question from a perspective of reducing inflation which was not the point of this question. Even candidates who recognised the significance of reducing a current account deficit provided quite assertive answers suggesting that any reduced consumption would clearly only reduce imports without any assessment of PED values. Some confused contractionary fiscal policy designed to reduce AD with protectionist policy i.e., increasing tariffs. Alternative policies were often asserted e.g., monetarist and supply side policies without any explanation as to how they might reduce the current account deficit. Genuine evaluation was rare. Candidates in such questions would be better advised to focus on the policy suggested and compare this with another and assess the strengths and weaknesses of both in order to come to a valid conclusion.</t>
  </si>
  <si>
    <t xml:space="preserve">9708_m24_22_Q5a</t>
  </si>
  <si>
    <t xml:space="preserve">;5.3;4.4;4.6;</t>
  </si>
  <si>
    <t xml:space="preserve">5.3.4, 4.4.4, 4.6.4</t>
  </si>
  <si>
    <t xml:space="preserve">interest rates, AD/AS, economic growth, demand-pull inflation</t>
  </si>
  <si>
    <t xml:space="preserve">With the help of an aggregate demand and aggregate supply diagram, explain how a decrease in interest rates could cause economic growth and consider whether economic growth will always result in inflation.</t>
  </si>
  <si>
    <t xml:space="preserve">Follow the point-based marking guidance at the top of this mark scheme and award: up to 3 marks for AO1 Knowledge and understanding up to 3 marks for AO2 Analysis up to 2 marks for AO3 Evaluation.
AO1 Knowledge and Understanding (max 3 marks) A clear understanding of what is meant by:
• economic growth (1)
• inflation (1)
• interest rates (1)
• through an accurate diagram, correctly labelled axes, and equilibrium price level and real GDP (1).
AO2 Analysis (max 3 marks) Uses the diagram(s) to explain how a decrease in interest rates will impact on saving/borrowing (1) that cause will either cause an increase in consumption/investment/next exports (1) which causes an increase in economic growth/real GDP (1).
AO3 Evaluation (max 2 marks) One mark for a valid explanation that rise in inflation assumes that the economy is operating at full capacity; the growth may be focused on capital intensive industries (1) or that the source of the growth may be long term in nature (1). The second mark is for a justified conclusion.
AO1 Knowledge and understanding: 3
AO2 Analysis: 3
AO3 Evaluation: 2</t>
  </si>
  <si>
    <t xml:space="preserve">A large proportion of candidates spent a great deal of time defining AD and AS rather than the key terms in the question namely, a decrease in interest rates, economic growth, and inflation. Once again there was a tendency to assert outcomes rather than explain them, for example a decrease in interest rates may well increase AD but it is essential that the candidate says why, step by step. Some candidates also continue to label AS and AD diagrams incorrectly and label axes as price and quantity rather than price level and RGDP and/or the curves as S and D. However, there were some very good answers including some strong evaluation at times that focused on the possible increase in AS offsetting the increase in inflation if the decrease in interest rates led to more capital investment. The level of spare capacity was also often cited in the evaluation and this in turn led to many marks of 7 or 8 in total.</t>
  </si>
  <si>
    <t xml:space="preserve">9708_m24_22_Q5b</t>
  </si>
  <si>
    <t xml:space="preserve">Assess whether economic growth is always desirable for an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</si>
  <si>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The meaning of the term economic growth.
• An explanation of the potential benefits of economic growth for an economy – higher incomes, reduction in unemployment, improved government finances, increased international competitiveness, increases in both consumer and business confidence, increased life expectancy.
• An explanation of the costs of economic growth for an economy – inflation, current account deficits, inequality, pollution.
AO3 Evaluation
• Consideration that fully assesses the relative perspectives of economic growth for an economy and arrives at a reasoned conclusion concerning which viewpoint (or otherwise) is most likely.
Accept all valid responses.
AO1 Knowledge and understanding and AO2 Analysis: 8
AO3 Evaluation: 4</t>
  </si>
  <si>
    <t xml:space="preserve">9708_m23_22_Q4b (60%), 9708_s25_23_Q4b (65%), 9708_s26_22_Q4b (59%)</t>
  </si>
  <si>
    <t xml:space="preserve">This question was also generally well answered with level 2 marks for AO1and AO2 being common. References to reductions in unemployment and improvements in material standards of living were common and it was pleasing to also see comments about possible improvements in public finances leading to increased investment in e.g., education, healthcare, and infrastructure to make growth more long term. The downsides to growth were frequently inflation, pollution, and the depletion of resources. However, many answers did not get into level 3 because of a lack of development, e.g., those who selected 2 or 3 arguments on each side and discussed the likelihood of each one were far more likely to get into level 3. For example, living standards may not improve if the benefits were not shared or unemployment may not fall if the growth was sustained by capital investment. Such an approach meant evaluation was more meaningful but was comparatively rare, The overall message to candidates is that a shorter list of arguments works better than a wider approach provided they are fully discussed.</t>
  </si>
  <si>
    <t xml:space="preserve">9708_s24_21_Q1ai</t>
  </si>
  <si>
    <t xml:space="preserve">balance of trade, data trend</t>
  </si>
  <si>
    <t xml:space="preserve">Sri Lanka – exports, depreciation and recovery</t>
  </si>
  <si>
    <t xml:space="preserve">Identify the overall trend in Sri Lanka’s balance of trade in goods and services between January 2022 and January 2023.</t>
  </si>
  <si>
    <t xml:space="preserve">     The trade deficit has fallen / declined / decreased / reduced (1)</t>
  </si>
  <si>
    <t xml:space="preserve">9708_s21_21_Q1ai (56%)</t>
  </si>
  <si>
    <t xml:space="preserve">Many candidates were able to correctly identify the overall trend in Sri Lanka’s balance of trade in goods and services between January 2022 and January 2023, recognising that the trade deficit had declined, but some candidates wrote about what was happening in each of the months shown in Table 1.1 rather than the overall trend over the whole period.</t>
  </si>
  <si>
    <t xml:space="preserve">9708_s24_21_Q1aii</t>
  </si>
  <si>
    <t xml:space="preserve">percentage change, balance of trade</t>
  </si>
  <si>
    <t xml:space="preserve">Calculate the percentage change in Sri Lanka’s balance of trade in goods and services between January 2022 and January 2023.</t>
  </si>
  <si>
    <t xml:space="preserve">     (Deficit has fallen) by 52% (1).
Guidance: The answer MUST refer to the trade deficit and the fact that it has fallen for the first mark i.e., not simply improved.
Accept answers in the range 51% to 53% for part (ii).</t>
  </si>
  <si>
    <t xml:space="preserve">Most candidates were able to calculate the percentage change in Sri Lanka’s balance of trade in goods and services between January 2022 and January 2023 as 52 per cent.</t>
  </si>
  <si>
    <t xml:space="preserve">9708_s24_21_Q1b</t>
  </si>
  <si>
    <t xml:space="preserve">comparative advantage, opportunity cost</t>
  </si>
  <si>
    <t xml:space="preserve">Explain what is meant by ‘Sri Lanka has enjoyed a comparative advantage in growing and exporting tea.’.</t>
  </si>
  <si>
    <t xml:space="preserve">This means that Sri Lanka can grow and export tea at a lower opportunity cost (1) than another country (1).
Guidance: Both parts must be clear for full marks.</t>
  </si>
  <si>
    <t xml:space="preserve">Many candidates were able to explain what was meant by ‘Sri Lanka has enjoyed a comparative advantage in growing and exporting tea’, stressing that this meant that Sri Lanka could grow and export tea at a lower opportunity cost than another country.</t>
  </si>
  <si>
    <t xml:space="preserve">9708_s24_21_Q1c</t>
  </si>
  <si>
    <t xml:space="preserve">6.4.3, 6.4.5, 6.3.4</t>
  </si>
  <si>
    <t xml:space="preserve">depreciation, balance of trade, PED for exports and imports</t>
  </si>
  <si>
    <t xml:space="preserve">Consider the extent to which depreciation of the Sri Lankan rupee could improve the country’s balance of trade in goods and services.</t>
  </si>
  <si>
    <t xml:space="preserve">     For a clear explanation of what is meant by a depreciation (1).      For an explanation that this should lead to a fall in the relative price of exports and a rise in the relative price of imports (1).      And the resulting impact on the level of exports and imports and the impact on the balance of trade (1).
Max 3 marks
Evaluation This will depend upon the:  PED of exports and imports with suitable explanation (1).</t>
  </si>
  <si>
    <t xml:space="preserve">Many candidates were able to write about the possible link between a depreciation of the Sri Lankan rupee and an improvement in the country’s balance of trade in goods and services, in terms of making the price of exports relatively cheaper and the price of imports relatively dearer. Very few of them made any attempt to offer any evaluation despite the fact that the question explicitly asked them to consider the extent to which depreciation of the rupee could improve the country’s balance of trade.</t>
  </si>
  <si>
    <t xml:space="preserve">9708_s24_21_Q1d</t>
  </si>
  <si>
    <t xml:space="preserve">;6.2;6.5;</t>
  </si>
  <si>
    <t xml:space="preserve">6.2.3, 6.5.2</t>
  </si>
  <si>
    <t xml:space="preserve">removal of protectionism, trade deficit, imports</t>
  </si>
  <si>
    <t xml:space="preserve">Assess whether the removal of all protectionism is likely to reduce the balance of trade deficit.</t>
  </si>
  <si>
    <t xml:space="preserve">Up to 4 marks for explanation / analysis:
     Possible advantages of retaining/not removing import tariffs e.g., to protect developing and declining industries from foreign competition, preserve levels of employment, prevent dumping etc. (up to 2 marks)      Possible advantages of removing import tariffs e.g., to remove the risk of retaliation, encourage foreign investment, encourage domestic industries etc. (up to 2 marks)
Up to 2 marks for evaluation:  That considers advantages of both alternatives to reach a valid conclusion as to whether the removal of all import tariffs is likely to reduce the deficit (reserve 1 mark).
Note: Ensure that the analysis is clearly focused on the effect on the trade balance. Accept reference to other forms of protectionism.</t>
  </si>
  <si>
    <t xml:space="preserve">The majority of candidates were able to offer an explanation and analysis of the possible link between the removal of protectionism and the likely effect on the balance of trade deficit, but relatively few then went on to offer a meaningful evaluation of how likely the removal of all protectionism would reduce the balance of trade deficit. It is important that candidates realise when they are required to offer some evaluation; this is why a careful reading of the question is so important.</t>
  </si>
  <si>
    <t xml:space="preserve">9708_s24_21_Q1e</t>
  </si>
  <si>
    <t xml:space="preserve">;5.4;4.4;</t>
  </si>
  <si>
    <t xml:space="preserve">5.4.3, 5.4.4, 4.4.4</t>
  </si>
  <si>
    <t xml:space="preserve">supply-side policy, economic growth, time lags</t>
  </si>
  <si>
    <t xml:space="preserve">Assess the extent to which supply-side policies will be able to ‘lead Sri Lanka back into economic growth’.</t>
  </si>
  <si>
    <t xml:space="preserve">Up to 4 marks for explanation / analysis:
     Possible benefits of using supply-side policies e.g., to create a better trained, educated and healthier workforce that is more productive, an environment more suited to enterprise etc. (up to 2 marks)      Possible drawbacks of using supply-side policies which may include the cost of provision, the time lag involved, the receptiveness of the workforce etc. (up to 2 marks)
Up to 2 marks for evaluation:  That fully considers both potential benefits and drawbacks to reach a valid conclusion as to the extent to which supply-side policies will be able to lead Sri Lanka back into economic growth. (reserve 1 mark)</t>
  </si>
  <si>
    <t xml:space="preserve">9708_s24_22_Q4b (60%)</t>
  </si>
  <si>
    <t xml:space="preserve">A number of candidates made quite a good attempt to assess the possible supply-side policies that could have been taken to ‘lead Sri Lanka back into economic growth’, such as in relation to education and training, but unfortunately, as in the previous question, many candidates did not attempt to offer any evaluation of the different policies despite the fact that the command word used in the question was ‘assess’.</t>
  </si>
  <si>
    <t xml:space="preserve">9708_s24_21_Q2a</t>
  </si>
  <si>
    <t xml:space="preserve">1.6.2, 1.6.3, 3.1.1, 3.1.2</t>
  </si>
  <si>
    <t xml:space="preserve">public goods, merit goods, market failure, under-provision</t>
  </si>
  <si>
    <t xml:space="preserve">With the use of examples, explain the difference between public goods and merit goods and consider whether markets will always provide enough of both goods.</t>
  </si>
  <si>
    <t xml:space="preserve">Follow the point-based marking guidance at the top of this mark scheme and award: up to 3 marks for AO1 Knowledge and understanding up to 3 marks for AO2 Analysis up to 2 marks for AO3 Evaluation.
AO1 Knowledge and Understanding (max 3 marks)  For the use of accurate examples of BOTH merit goods and public goods (1).  For clearly explaining the characteristics of public goods i.e., non-rivalry and non-excludable (1).  For clearly explaining the characteristics of merit goods i.e., better than people realise and under consumed / underproduced due to information failure (1).
AO2 Analysis (max 3 marks)  A market economy is less likely to produce enough of both goods due to the lack of a profit motive unless heavily subsidised.  A mixed economy may produce enough due to government involvement and the welfare motive but may be constrained by limits on government spending.
Note: Analysis should consider at least 2 markets. If only 1 market is analysed, then 2 marks maximum for analysis and 0 for evaluation.
AO3 Evaluation (max 2 marks) Offers a valid evaluation of whether enough of both types of good can be produced in at least 2 markets (1) reaching a valid conclusion (1).
AO1 Knowledge and understanding: 3
AO2 Analysis: 3
AO3 Evaluation: 2</t>
  </si>
  <si>
    <t xml:space="preserve">9708_w23_22_Q3a (67%), 9708_w24_23_Q2a (58%), 9708_s25_22_Q2a (81%), 9708_s26_21_Q2a (62%), 9708_s26_23_Q3a (60%)</t>
  </si>
  <si>
    <t xml:space="preserve">In this part of the question, candidates were required to explain, with the use of examples, the difference between public goods and merit goods and to consider whether markets would always provide enough of both goods. Most candidates were able to demonstrate a good knowledge and understanding of the characteristics of both public goods and merit goods, although some of the examples given were incorrect. The analysis and evaluation, however, was somewhat limited in relation to market provision.</t>
  </si>
  <si>
    <t xml:space="preserve">9708_s24_21_Q2b</t>
  </si>
  <si>
    <t xml:space="preserve">planned economy, mixed economy, transition</t>
  </si>
  <si>
    <t xml:space="preserve">Assess whether a planned economic system should always switch to a mixed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</si>
  <si>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Analysis of both the potential advantages and disadvantages of a planned economic system including the emphasis on welfare and provision of public and merit goods. However, the lack of competition may mean a lack of efficient allocation of goods etc.  Analysis of both the potential advantages and disadvantages of a mixed economy including the fact that it possibly contains the best features of both a planned and a market economy, but this depends on how mixed it actually is. This may also include an assessment of the ease of the switch itself.
Level 1 responses will be assertive and lacking in explanations / mainly descriptive and/or or mainly lacking in relevance to the question.
Level 2 responses may contain some inaccuracies and will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 For an evaluation of both the advantages and disadvantages of planned and mixed economies leading to:  A valid conclusion.
Accept all valid responses.
AO1 Knowledge and understanding and AO2 Analysis: 8
AO3 Evaluation: 4</t>
  </si>
  <si>
    <t xml:space="preserve">9708_m23_22_Q2b (70%)</t>
  </si>
  <si>
    <t xml:space="preserve">In the second part of the question, candidates were required to assess whether a planned economic system should always switch to a mixed economy. Candidates were generally able to analyse the potential advantages and disadvantages of the two types of economic system but did not always offer a convincing evaluation in relation to the switch. It needs to be remembered that although eight marks are allocated to ‘knowledge and understanding’ (AO1) and ‘analysis’ (AO2) in the part (b) questions, four marks are allocated to ‘evaluation’ (AO3).</t>
  </si>
  <si>
    <t xml:space="preserve">9708_s24_21_Q3a</t>
  </si>
  <si>
    <t xml:space="preserve">absolute claim (always/only/alone); to what extent</t>
  </si>
  <si>
    <t xml:space="preserve">With the help of a formula, explain what is meant by the income elasticity of demand for a product and consider the extent to which demand for the product will always rise at the same rate as the income of its consumers.</t>
  </si>
  <si>
    <t xml:space="preserve">Follow the point-based marking guidance at the top of this mark scheme and award: up to 3 marks for AO1 Knowledge and understanding up to 3 marks for AO2 Analysis up to 2 marks for AO3 Evaluation.
AO1 Knowledge and Understanding (max 3 marks)
For an accurate formula of YED (1). For clear and accurate knowledge and explanation of what is meant by YED (1) including the difference between elastic and inelastic YED (1).
AO2 Analysis (max 3 marks)
For a clear understanding and explanation that this depends on the coefficient value of YED (1) and analysis of the different outcomes depending on whether the product is normal (positive coefficient) (1) or inferior (negative coefficient) (1).
AO3 Evaluation (max 2 marks)
For a considered evaluation of the possible outcomes (1) leading to a valid conclusion (1).
AO1 Knowledge and understanding: 3
AO2 Analysis: 3
AO3 Evaluation: 2</t>
  </si>
  <si>
    <t xml:space="preserve">9708_s25_24_Q2a (56%), 9708_w25_21_Q2a (57%)</t>
  </si>
  <si>
    <t xml:space="preserve">In this part of the question, candidates were required to explain, with the help of a formula, what is meant by the income elasticity of demand for a product and to consider the extent to which demand for the product will always rise at the same rate as the income of its consumers. Most candidates were able to provide the appropriate formula, although many of them left out the percentage change. Many candidates were able to analysis how the outcome would depend on whether the product was a normal good or an inferior good. Unfortunately, some candidates were confused about when there would be a positive coefficient and when there would be a negative coefficient. Relatively few candidates made any attempt to offer a considered evaluation of the possible outcomes; this shows the importance of candidates reading the question as carefully as possible.</t>
  </si>
  <si>
    <t xml:space="preserve">9708_s24_21_Q3b</t>
  </si>
  <si>
    <t xml:space="preserve">PES, XED, business decisions</t>
  </si>
  <si>
    <t xml:space="preserve">Assess the extent to which price elasticity of supply or cross elasticity of demand is more useful to businesses.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</si>
  <si>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 assessment of the usefulness of PES e.g., it estimates how quickly a business will take to respond to changes in demand, levels of stock it can hold etc., but this is only an estimate and may change.  An assessment of the usefulness of XED e.g., it tells the business whether their product is a substitute (positive XED) or a complement (negative XED) and how close the relationship is and hence its sensitivity to the actions of other businesses, but the speed of change may mean it is quickly out of date.
Level 1 responses will be assertive and lacking in explanations / mainly descriptive and/or or mainly lacking in relevance to the question.
Level 2 responses may contain some inaccuracies and will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 For a full evaluation of the usefulness of both measurements compared with each other leading to:  A valid conclusion
Accept all valid responses.
AO1 Knowledge and understanding and AO2 Analysis: 8
AO3 Evaluation: 4</t>
  </si>
  <si>
    <t xml:space="preserve">9708_w23_22_Q2b (69%), 9708_s25_22_Q3b (58%)</t>
  </si>
  <si>
    <t xml:space="preserve">In the second part of the question, candidates were required to assess the extent to which price elasticity of supply or cross elasticity of demand was more useful to a business. Most candidates were able to provide an assessment of the usefulness of the two elasticities, but as in Question 2 (b), little evaluation was provided by the majority of candidates in terms of offering a valid comparison of the two, despite the fact that four of the twelve marks available were for evaluation.</t>
  </si>
  <si>
    <t xml:space="preserve">9708_s24_21_Q4a</t>
  </si>
  <si>
    <t xml:space="preserve">4.3.2, 4.3.3, 4.6.4</t>
  </si>
  <si>
    <t xml:space="preserve">components of AD, demand-pull inflation, spare capacity</t>
  </si>
  <si>
    <t xml:space="preserve">Explain three of the components of aggregate demand and consider the extent to which they may be increased without leading to inflation.</t>
  </si>
  <si>
    <t xml:space="preserve">Follow the point-based marking guidance at the top of this mark scheme and award: up to 3 marks for AO1 Knowledge and understanding up to 3 marks for AO2 Analysis up to 2 marks for AO3 Evaluation.
AO1 Knowledge and Understanding (max 3 marks)
For a clear and accurate explanation of three components of aggregate demand i.e., consumer spending, investment, government spending and / or net exports (1  3).
Note. Q4(b) lists three components of AD so any AO1 marks CANNOT be awarded for simply mentioning a component.
AO2 Analysis (max 3 marks)
For an analysis that explains that one cause of inflation is a situation where AD rises more than AS (1) but also considers why this may or may not occur e.g., the economy is operating at less than capacity, some of the increase in AD also increases AS etc. (up to 2 marks)
Note. If both scenarios are considered, then full marks may be awarded. For one-sided answers, maximum mark of 1.
AO3 Evaluation (max 2 marks)
For an answer that clearly considers both sides (1) leading to a valid conclusion (1).
AO1 Knowledge and understanding: 3
AO2 Analysis: 3
AO3 Evaluation: 2</t>
  </si>
  <si>
    <t xml:space="preserve">9708_w25_22_Q5a (57%)</t>
  </si>
  <si>
    <t xml:space="preserve">In this part of the question, candidates were required to explain three of the components of aggregate demand and to consider the extent to which they may be increased without leading to inflation. Most candidates were able to demonstrate a good knowledge and understanding of three of the components, but the analysis of the link with inflation was often rather limited.</t>
  </si>
  <si>
    <t xml:space="preserve">9708_s24_21_Q4b</t>
  </si>
  <si>
    <t xml:space="preserve">;5.2;4.3;</t>
  </si>
  <si>
    <t xml:space="preserve">5.2.4, 5.2.5, 5.2.7, 4.3.3</t>
  </si>
  <si>
    <t xml:space="preserve">fiscal policy, rebalancing, consumption, China</t>
  </si>
  <si>
    <t xml:space="preserve">The Chinese government has re-emphasised its commitment to rebalancing the economy from one focused mainly on investment and exports to one aiming to increase the proportion spent on domestic consumption. Assess the extent to which it would be possible to achieve this by fiscal policy alone.</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</si>
  <si>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The analysis must focus on the usefulness of using fiscal policy to rebalance the economy in the way suggested. Domestic consumption can be boosted by a number of fiscal policies including policies on taxation and government spending, but the main problem would be achieving this in a sustainable way.  This analysis must be compared with alternative policies including supply-side policies and monetary policies plus fiscal policies with a supply-side content.
Level 1 responses will be assertive and lacking in explanations / mainly descriptive and/or or mainly lacking in relevance to the question.
Level 2 responses may contain some inaccuracies and will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 For a full evaluation of more than one type of policy that clearly assesses and compares the potential usefulness of them to rebalance the Chinese economy leading to a:valid conclusion.
Accept all valid responses.
AO1 Knowledge and understanding and AO2 Analysis: 8
AO3 Evaluation: 4</t>
  </si>
  <si>
    <t xml:space="preserve">In the second part of the question, candidates were required to assess the extent to which it would be possible for the Chinese government to achieve its objective by fiscal policy alone. Most candidates were able to offer a reasonable analysis of using fiscal policy to achieve the objective, but there was a more limited analysis of possible alternative policies, such as monetary policies or supply-side policies. Unfortunately, relatively few candidates made an attempt to offer any evaluation of which policy approach was likely to be more successful in achieving the objective of the Chinese government, despite the fact that although eight marks are allocated to ‘knowledge and understanding’ (AO1) and ‘analysis’ (AO2) in the part (b) questions, four marks are allocated to ‘evaluation’ (AO3).</t>
  </si>
  <si>
    <t xml:space="preserve">9708_s24_21_Q5a</t>
  </si>
  <si>
    <t xml:space="preserve">causes of unemployment, high-income economy</t>
  </si>
  <si>
    <t xml:space="preserve">Explain three causes of unemployment and consider which cause is likely to be most damaging to a high-income economy.</t>
  </si>
  <si>
    <t xml:space="preserve">Follow the point-based marking guidance at the top of this mark scheme and award: up to 3 marks for AO1 Knowledge and understanding up to 3 marks for AO2 Analysis up to 2 marks for AO3 Evaluation.
AO1 Knowledge and Understanding (max 3 marks)
For a clear and accurate explanation of three causes of unemployment from frictional, structural, cyclical (demand deficient), seasonal or technological (31).
AO2 Analysis (max 3 marks) Each cause identified must be analysed, and judgements made about how damaging it might be for a high-income economy (31). For example, points to consider may include:  Frictional unemployment may be dependent on information provision.  Structural unemployment may be permanent and difficult to solve.  Cyclical unemployment depends on the economic cycle.  Seasonal depends on alternative sources of employment.  Technological depends on occupational or geographical immobility of labour.
AO3 Evaluation (max 2 marks)
For an answer that clearly assesses how damaging each cause may be to a high-income developed economy in comparison with each other (1) that leads to a justified conclusion as to which may be the most damaging (1).
AO1 Knowledge and understanding: 3
AO2 Analysis: 3
AO3 Evaluation: 2</t>
  </si>
  <si>
    <t xml:space="preserve">9708_w23_23_Q4a (56%), 9708_s26_21_Q4a (69%)</t>
  </si>
  <si>
    <t xml:space="preserve">In this part of the question, candidates were required to explain three causes of unemployment and to consider which cause was likely to be the most damaging to a high-income country. Most candidates demonstrated a sound knowledge and understanding of three possible causes of unemployment, but the analysis of the link to a high-income country was, in most cases, rather limited. Relatively few candidates were able to offer any meaningful evaluation.</t>
  </si>
  <si>
    <t xml:space="preserve">9708_s24_21_Q5b</t>
  </si>
  <si>
    <t xml:space="preserve">;5.2;5.3;5.4;4.5;</t>
  </si>
  <si>
    <t xml:space="preserve">5.2.7, 5.3.4, 5.4.4, 5.1.1</t>
  </si>
  <si>
    <t xml:space="preserve">expansionary policy, low unemployment, policy comparison</t>
  </si>
  <si>
    <t xml:space="preserve">Assess which expansionary macroeconomic policy would be most likely to enable a government to meet its economic objective of a low rate of unemployment.</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</si>
  <si>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The analysis must focus on the advantages and disadvantages of using at least two expansionary macroeconomic policies to keep unemployment low. For example, one policy might be an expansionary supply-side policy with an emphasis on training and education which would allow people to be more employable, e.g., by having more relevant skills but it may be time- consuming and costly.  This chosen policy must then be contrasted with an alternative policy / policies. For example, expansionary monetary policy may be suggested with the use of low interest rates to encourage investment and boost employment, but the investment may be directed towards more capital- intensive production.
Note. The focus of the question must be on how a low rate of unemployment may be achieved.
Level 1 responses will be assertive and lacking in explanations / mainly descriptive and/or or mainly lacking in relevance to the question.
Level 2 responses may contain some inaccuracies and will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 That clearly compares the likely success of at least two expansionary macroeconomic policies that leads to:  A valid conclusion as to which policy would be most likely to meet the economic objective of a low rate of unemployment.  Accept all valid responses.
AO1 Knowledge and understanding and AO2 Analysis: 8
AO3 Evaluation: 4</t>
  </si>
  <si>
    <t xml:space="preserve">In the second part of the question, candidates were required to assess which expansionary macroeconomic policy would be most likely to enable a government to meet its economic objective of a low rate of unemployment. A number of candidates did refer to different possible macroeconomic policies, but some of them only referred to one. This made it very difficult for such candidates to offer any meaningful evaluation as to which policy would be most likely to achieve the objective of a low rate of unemployment.</t>
  </si>
  <si>
    <t xml:space="preserve">9708_s24_22_Q1a</t>
  </si>
  <si>
    <t xml:space="preserve">consumer prices, data trend</t>
  </si>
  <si>
    <t xml:space="preserve">Eurozone – inflation and the ECB</t>
  </si>
  <si>
    <t xml:space="preserve">Describe what has happened to consumer prices in the Eurozone between March 2021 and February 2022.</t>
  </si>
  <si>
    <t xml:space="preserve">     For example, consumer prices / inflation/ CPI have risen over this period (1) by 4.89% (accept an answer between 4.8% and 4.9%) (1) rose every month except July 2021 (1).
Guidance: Other examples may include, the largest increase was in February 2022 (1), the rate of increase was generally lower before October 2021 than after. (1)
Note: simply stating consumer prices have increased from 106.53 to 111.74 or by 5.21% is worth 1 MAX.
Award one mark for each valid change between March2021 and February 2022. Note:, it is not necessary to provide figures / calculations.</t>
  </si>
  <si>
    <t xml:space="preserve">The question asked candidates to compare what had happened to consumer prices between March 2021 and February 2022. At its simplest level they had risen or increased over the period, and we also accepted references to CPI and inflation without any direct reference to consumer prices. This was satisfactory for 1 mark. Further elaboration for the second mark could be via a correct calculation of e.g., the per cent increase i.e., 4.89 per cent , or a reference to the only month where prices fell, i.e., July 2021. However, a simple reference to the index values and/or the difference between them was treated as simple copying of data without a use made of it and was not credited, Likewise, some candidates attempted to explain the changes which was irrelevant and wasted valuable time. Also detailed descriptions of changes along the time frame were irrelevant as the question asked for a description of the changes between the two dates. However, most candidates earned at least 1 mark, and many earned 2 although there was often a great deal of unnecessary writing.</t>
  </si>
  <si>
    <t xml:space="preserve">9708_s24_22_Q1b</t>
  </si>
  <si>
    <t xml:space="preserve">cost-push inflation, AD/AS diagram</t>
  </si>
  <si>
    <t xml:space="preserve">With the help of an aggregate demand and aggregate supply diagram, identify the main type of inflation in the Eurozone.</t>
  </si>
  <si>
    <t xml:space="preserve">     For clearly identifying that the main type of inflation in the Eurozone is cost-push inflation (1)      Shown on a correctly labelled diagram that shows a shift to the left of the AS curve and the increase in the price level (1)</t>
  </si>
  <si>
    <t xml:space="preserve">9708_s21_22_Q4a (58%), 9708_s22_21_Q1d (65%)</t>
  </si>
  <si>
    <t xml:space="preserve">This question highlighted the need to produce accurate diagrams. Whereas many candidates were able to recognise the existence of cost-push inflation for the first mark, the lack of an accurate diagram prevented them from scoring the second mark. Again, candidates are encouraged to act upon the directive words of the question – many candidates lost time by writing at length why cost- push inflation was present when the question required nothing more than an identification. An additional problem was a mis identification of the type of inflation, usually identified as demand-pull (although there were references to creeping, hyper and supply-side inflation) and diagrams showing a shift in the AD curve. Likewise answers that showed both demand-pull and cost-push inflation received zero marks as the question asked for an identification of the main cause which was cost-push and not both types.</t>
  </si>
  <si>
    <t xml:space="preserve">9708_s24_22_Q1c</t>
  </si>
  <si>
    <t xml:space="preserve">;4.6;4.5;</t>
  </si>
  <si>
    <t xml:space="preserve">4.6.4</t>
  </si>
  <si>
    <t xml:space="preserve">labour shortage, wage costs, cost-push inflation</t>
  </si>
  <si>
    <t xml:space="preserve">Consider the extent to which the shortage of supply of labour in the Eurozone may have contributed towards the increasing rate of inflation.</t>
  </si>
  <si>
    <t xml:space="preserve">     Shortage of the supply of labour is likely to increase wage rates (1)      Which will increase business costs of production/ and therefore cause cost-push inflation/shift AS curve to the left (1)      However, energy costs have also increased further adding to costs of production (1)
For valid evaluation  Extent therefore depends on (e.g.) relative increases in costs due to wages and energy costs (1)</t>
  </si>
  <si>
    <t xml:space="preserve">9708_s23_22_Q1c (62%)</t>
  </si>
  <si>
    <t xml:space="preserve">The current main cause of inflation in the Eurozone has been identified in the extract as being supply driven/cost push. Although, in the future, the problems of a shortage of labour may lead to shortages of output/additional demand pressure, these issues were not considered relevant to the present problems. Whilst many candidates were able to establish the link between a shortage of labour fueling cost-push inflation via an increase in wage rates, a surprising number did in fact associate a shortage of labour with reduced output and instead discussed demand-pull inflation. Moreover, although a pleasing number of candidates recognised the relevance of energy costs, disappointingly few offered any relevant evaluation as to which was the most dominant factor. The modal mark was 2 for a correct reference to an increase in wage costs leading to an increase in the costs of production. Those who referenced the increase in energy costs gained a third mark, However, as aforementioned, very few candidates attempted any judgement as to the extent to which either cause may have contributed the most and this limited the possible overall mark to 3.</t>
  </si>
  <si>
    <t xml:space="preserve">9708_s24_22_Q1d</t>
  </si>
  <si>
    <t xml:space="preserve">;2.2;3.3;4.6;</t>
  </si>
  <si>
    <t xml:space="preserve">2.2.6, 2.2.7, 4.6.5</t>
  </si>
  <si>
    <t xml:space="preserve">PED, necessities, poorer households, fixed incomes</t>
  </si>
  <si>
    <t xml:space="preserve">Using the concept of price elasticity of demand, assess the relative impact on poorer households, including those on fixed incomes, of rising prices of food and energy.</t>
  </si>
  <si>
    <t xml:space="preserve">For explanation/ analysis (up to 4 marks)
For a fully accurate formula of PED and / or an explanation of what it measures in terms of the responsiveness / percentage change in quantity demanded compared to a change in price (1)
For an explanation that food and energy would be classed as essential/necessity goods and therefore price inelastic meaning that quantity demanded would be less responsive to a change in price / the fall in quantity demanded would be less than the increase in price (1)
For an explanation that poorer households (including fixed income households) would suffer a great detrimental / negative effect because their income does not rise in line with inflation and / or they are unlikely to be in a position to negotiate for higher wages (1)
For an explanation that this situation can only be overcome if e.g., government support is made available to assist poorer households with the rising prices of food and energy. (1)
ALTERNATIVELY, the 4th mark can be given for a comparison to higher income households who will probably be in a position to either negotiate for income increases in line with inflation OR absorb the rising prices of food and energy.
For evaluation
That clearly assesses the extent of the impact solely on lower income households e.g., by considering the amount of possible government assistance possible, the degree to which such households can compensate for the price rises etc., Reserve 1 mark for a justified conclusion. That clearly assesses the relative impact on different types of households (including high-income households) by considering e.g., the proportion of income spent on food and energy together with their ability to negotiate for higher pay. Reserve 1 mark for a justified conclusion.</t>
  </si>
  <si>
    <t xml:space="preserve">This question asked candidates to assess the relative impact of rising prices on poorer families. This meant it had to consider two perspectives and the two that were expected was firstly a comparison with better off households and alternatively a situation where government assistance was available. However, it appeared to be challenging for a significant number of candidates who offered an accurate definition of PED but went on to make a series of assertions rather than explain the comments they made. For example, it was common to see candidates assert that food and energy were necessities and, as such, must be price inelastic in demand. Unfortunately, they often missed the opportunity to develop this point and explain that rising prices of either food or energy would result in a proportionately smaller reduction in quantity demanded leading to a higher proportion of income needing to be spent on these items. Similarly, whilst candidates recognised that rising food and energy prices would be more significant to those on poorer/fixed income households they did not refer to the problem of these groups being unable to increase their incomes in line with the price rises. Nonetheless, some of the best responses did address this point and offered strong evaluative commentary by comparing the significance of rising food and energy prices to higher income households and also the possibility for governments to consider forms of intervention/support.</t>
  </si>
  <si>
    <t xml:space="preserve">9708_s24_22_Q1e</t>
  </si>
  <si>
    <t xml:space="preserve">contractionary monetary policy, interest rates, recession risk</t>
  </si>
  <si>
    <t xml:space="preserve">Assess the advantages and disadvantages of the ECB ‘substantially’ increasing the interest rate to control rising inflation.</t>
  </si>
  <si>
    <t xml:space="preserve">Up to 2 marks for explanation / analysis of the advantages of substantially increasing the interest rate to control rising inflation e.g., it will curb demand pull inflation by reducing AD and it is a relatively quick and easy policy to adopt.
Up to 2 marks for explanation / analysis of the disadvantages of substantially increasing the interest rate to control rising inflation e.g., this inflation is supply led and reducing AD will have little effect and in fact this policy may add to supply costs and cause other unintended serious consequences for the economy.
Up to 2 marks for evaluation  That clearly considers both advantages and disadvantages / compares with an alternative policy such as supply-side policy / refers to the significance of a substantial increase No mark for eval can be awarded if only advantages or disadvantages are considered.  Comes to a reasoned conclusion as to whether advantages outweigh disadvantages or vice versa (reserve 1 mark)</t>
  </si>
  <si>
    <t xml:space="preserve">A pleasing number of candidates established the link between rising interest rates and the cost of borrowing/reward for saving before going onto provide a detailed assessment of the likely impact on both consumption and investment as part of the transmission mechanism by which rising inflation might be controlled. Similarly, it was not uncommon to see candidates establish the link between rising interest rates, appreciating the currency and thereby reducing the costs of production for those firms that imported raw materials. Many candidates were also equally confident at providing strong disadvantages with many referring to the potential consequences for economic growth, unemployment and government finances. However, a balanced evaluation was uncommon and only the best answers considered both sides of the discussion and referred to both the relevance of the time dimension in terms of rising unemployment and the general appropriateness in using interest rates to control cost-push inflation. Consequently, 3/4 tended to be the modal mark.</t>
  </si>
  <si>
    <t xml:space="preserve">9708_s24_22_Q2a</t>
  </si>
  <si>
    <t xml:space="preserve">3.3.2, 3.3.3</t>
  </si>
  <si>
    <t xml:space="preserve">Gini coefficient, causes of inequality, low-income country</t>
  </si>
  <si>
    <t xml:space="preserve">Explain how the Gini coefficient is used to measure income inequality and consider the relative strength of two economic reasons suggested for such inequality in a low-income country.</t>
  </si>
  <si>
    <t xml:space="preserve">Follow the point-based marking guidance at the top of this mark scheme and award: up to 3 marks for AO1 Knowledge and understanding up to 3 marks for AO2 Analysis up to 2 marks for AO3 Evaluation.
AO1 Knowledge and Understanding (max 3 marks)
For a clear understanding of what the Gini coefficient is e.g., it is a numerical measure of the extent of income inequality in an economy (1) if there is no inequality the value will be zero and at the other extreme, if all income is earned by one person the value will be one (1) For an explanation that the nearer the value is to zero income is more equally distributed and/or the nearer the value is to one the more it is unequally distributed (1).
AO2 Analysis (max 3 marks) Reasons may include:  A lack of employment opportunities e.g., which will mean that income levels are low (1) which may be more of a problem in low-income countries because industry may be less well developed (1).  Poor vocational training e.g., leading to fewer people being able to develop their skills and earn a higher income (1). This may be more of a problem in such countries because of the lack of finance to provide such training. (1)  A lack of investment in education and health e.g., meaning that some people may not receive a better level of education or may suffer long term health issues which will lower their potential income levels. (1) This may be more common in such countries due to a lack of government budget (1)  Other reasons include:  Poor infrastructure  Lack of access to loan finance
Analysis must focus on the strength of two of these reasons in a low-income country. Maximum of 2 marks if only one reason considered.
One mark per reason explained (+1) if clearly related to a low-income country.
Accept any valid reason provided it is explained in terms of economics.
Maximum of 2 marks if only one reason is considered.
AO3 Evaluation (max 2 marks)
Up to 2 marks for evaluating the relative strength of the two reasons with 1 mark reserved for a balanced judgement as to which may be the most likely reason in a low-income economy.
AO1 Knowledge and understanding: 3
AO2 Analysis: 3
AO3 Evaluation: 2</t>
  </si>
  <si>
    <t xml:space="preserve">Possibly because this is a relatively new addition to the syllabus, this question was attempted by few candidates. However, marks were generally good for those who did. Most candidates were able to provide a good definition and understood the values if 0 and 1 and gained 2 AO1 marks. However, a clear understanding of the meaning of values between the two extremes was not always made for the third mark. Analysis of two reasons was often attempted and applied to low- income countries and some valid evaluation of their relative importance was made. However, weaker candidates either ignored the significance for low-income countries or offered no evaluation at all which depressed overall marks in some cases. Hopefully, if similar questions are asked in future, more candidates will have the confidence to attempt it.</t>
  </si>
  <si>
    <t xml:space="preserve">9708_s24_22_Q2b</t>
  </si>
  <si>
    <t xml:space="preserve">3.3.4</t>
  </si>
  <si>
    <t xml:space="preserve">redistribution policies, progressive tax, transfer payments, disincentives</t>
  </si>
  <si>
    <t xml:space="preserve">Assess the extent to which government policies to redistribute income and wealth are likely to be successful.</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</si>
  <si>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Policies may include:  Minimum wage rates  Transfer payments  Progressive income taxes  State provision of essential goods and services  Investment in infrastructure
Accept any valid policies but the analysis must focus on how they may be used to redistribute income and wealth and their advantages and disadvantages to be credited.
E.g., A minimum wage rate that is set above the equilibrium, should increase the income levels of those on the lowest levels and therefore possibly ensure that poverty is reduced. However, if everyone’s income levels increased, this will not have a redistribution effect. It will not impact on the self-employed. It may lead to unemployment and more poverty leading to less redistribution if businesses cannot afford the higher rates.
E.g., Progressive income taxes should ensure that those on lower incomes pay less tax as a percentage of income than those on higher incomes. This should have a redistributive effect. However, those on higher incomes may have the ability to reduce their tax burden or may simply leave the country. It may also reduce incentives to earn more.
Note: if only one policy is considered, the maximum level will be Level 2.
Level 1 responses will be assertive and lacking in explanations / mainly descriptive and/or or mainly lacking in relevance to the question.
Level 2 responses may contain some inaccuracies and will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     Requires an assessment of the likely success of more than one government policy leading to      A justified conclusion as to whether such policies are ever likely to be successful.
A one-sided response cannot gain any marks for evaluation.
AO1 Knowledge and understanding and AO2 Analysis: 8
AO3 Evaluation: 4</t>
  </si>
  <si>
    <t xml:space="preserve">A high proportion of strong responses were evident for this element of the question with candidates providing a range of appropriate policies. Most candidates were able to provide good analysis of both the strengths and weaknesses of the policies identified although this was not always clearly related to their role in redistributing income and wealth. Consequently, these were restricted to Level 2 However, whilst analysis of the advantages and disadvantages of each policy was often good, evaluation of the relative success of such policies e.g., which might be best, whether they might be successful at all in redistribution was often lacking and replaced with assertions or simple summaries of what had been previously discussed. Clearly, this is a skill needing further development.</t>
  </si>
  <si>
    <t xml:space="preserve">9708_s24_22_Q3a</t>
  </si>
  <si>
    <t xml:space="preserve">;1.6;3.2;</t>
  </si>
  <si>
    <t xml:space="preserve">1.6.3, 1.6.4, 3.2.2</t>
  </si>
  <si>
    <t xml:space="preserve">merit good, demerit good, subsidy</t>
  </si>
  <si>
    <t xml:space="preserve">With the help of an example of each, explain the difference between a merit good and a demerit good and consider whether a subsidy given to a merit good will always be effective in increasing its consumption.</t>
  </si>
  <si>
    <t xml:space="preserve">Follow the point-based marking guidance at the top of this mark scheme and award: up to 3 marks for AO1 Knowledge and understanding up to 3 marks for AO2 Analysis up to 2 marks for AO3 Evaluation.
AO1 Knowledge and Understanding (max 3 marks)
A merit good is thought to be desirable but is underprovided / underconsumed due to information failure/a lack of awareness/better than is realised (1) whereas a demerit good is thought to be undesirable but is overprovided / overconsumed due to information failure/a lack of awareness/worse than is realised (1) Third mark to be awarded for valid examples of both a merit and a demerit good. (1)
AO2 Analysis (max 3 marks)  Points to consider:  A subsidy may encourage poorer households to consume more merit goods as the reason for underconsumption may be unaffordability as it reduces the price of merit goods. (1)  However, quantity demanded may be price inelastic meaning it is less responsive to price changes so quantity demanded will be less responsive to the change in price/the rise in quantity demanded would be less than the decrease in price. (1)  The problem of information failure persists meaning that consumers remain unaware of the benefits and therefore do not increase consumption, regardless of the fall in price. (1)
AO3 Evaluation (max 2 marks)  For a balanced evaluation of whether a subsidy will always be effective with 1 mark reserved for a justified conclusion.
AO1 Knowledge and understanding: 3
AO2 Analysis: 3
AO3 Evaluation: 2</t>
  </si>
  <si>
    <t xml:space="preserve">9708_s26_21_Q2a (56%)</t>
  </si>
  <si>
    <t xml:space="preserve">The analysis in this question was not concerned with a comparison of the use of a subsidy with a different policy or whether a subsidy was the best policy so therefore assessments of alternative policies were irrelevant. All that was needed was an assessment, in isolation, of the effectiveness of using a subsidy to increase the consumption of a merit good. This question was significantly the most popular in section B. Information failure was frequently correctly identified as the reason for under and over consumption of merit and demerit goods respectively although references to a lack of awareness or worse/better than is realised were equally accepted. Although most candidates were able to provide an appropriate example of each, some were imprecise and simply offered e.g., ‘food’ or a similarly generic example as a merit good – demerit goods by contrast were often more precise. Similarly, a pleasing number of candidates accurately explained how a subsidy would encourage consumption via reduced costs of production resulting in reduced prices. Moreover, strong analysis of how the success of the subsidy would depend on the extent to which demand was price elastic or inelastic was evident, as was the fact that a subsidy was unlikely to overcome the issue of information failure. However, some candidates were unable to gain more than 4 marks as they explained how subsidies might work but then focused solely on alternative methods of increasing consumption rather than explaining why subsidies would not be effective which was the question. This meant evaluation was often irrelevant as it was not answering the question.</t>
  </si>
  <si>
    <t xml:space="preserve">9708_s24_22_Q3b</t>
  </si>
  <si>
    <t xml:space="preserve">minimum price, demerit good, indirect tax, information</t>
  </si>
  <si>
    <t xml:space="preserve">Assess whether fixing a minimum price is likely to be the best policy to reduce the consumption of a demerit good.</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</si>
  <si>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Use of minimum pricing to increase the price of the demerit good and reduce consumption.  Problems of using minimum pricing may include discussions around inelastic PED, problem of information failure persists, informal markets may appear etc.  Alternative policies that may be considered include increasing indirect taxes, education, provision of information and analysis should focus on the advantages and disadvantages of such policies in reducing the consumption of demerit goods.  Points to consider will include ease of introducing the policy, time and cost, reception by consumers etc.  Accept any valid policies but the analysis must focus on how they may reduce the consumption of demerit goods and discuss their advantages and disadvantages.
Level 1 responses will be assertive and lacking in explanations / mainly descriptive and/or or mainly lacking in relevance to the question.
Level 2 responses may contain some inaccuracies and will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 Requires an assessment of at least one other policy to be compared against minimum pricing policy which leads to  A justified conclusion as to whether a minimum pricing is the best policy to reduce the consumption of demerit goods.
A one-sided response cannot gain any marks for evaluation.
AO1 Knowledge and understanding and AO2 Analysis: 8
AO3 Evaluation: 4</t>
  </si>
  <si>
    <t xml:space="preserve">9708_m24_22_Q2b (76%), 9708_s25_21_Q3b (64%)</t>
  </si>
  <si>
    <t xml:space="preserve">This question enabled candidates to demonstrate a good understanding of not only the use of minimum prices to reduce the consumption of demerit goods, but of other potential alternatives. Although most candidates were able to explain that a minimum price set above the free-market level would result in a contraction in demand, many simply asserted that a surplus would emerge as businesses would continue to produce output despite the fall in demand. Similarly, others asserted illegal markets would simply arise without explaining why. Of the alternative policies offered, indirect taxes were the most popular and candidates were equally as confident in explaining not only how it might reduce the consumption of demerit goods, but also its limitations e.g. the PED of the demerit good. Furthermore, many candidates referred to the problem of information failure and made the point that the revenue from indirect taxation could be used to fund the provision of e.g., advertising campaigns. As ever, the best responses attempted to answer the question ‘why’ for all points raised even if briefly and considered both strengths and weaknesses of the policies discussed. There was evidence of some good evaluation, and the best answers pulled the analysis together to consider which policy discussed was likely to be the ‘best’ policy for example, by referring to the ability of authorities to control the emergence of illegal markets, or whether the authorities could realistically ever control the purchasing of such goods in a free market.</t>
  </si>
  <si>
    <t xml:space="preserve">9708_s24_22_Q4a</t>
  </si>
  <si>
    <t xml:space="preserve">;4.2;4.4;</t>
  </si>
  <si>
    <t xml:space="preserve">4.2.1, 4.2.2, 4.4.4</t>
  </si>
  <si>
    <t xml:space="preserve">circular flow, open economy, injections, economic growth</t>
  </si>
  <si>
    <t xml:space="preserve">With the help of a diagram, explain what is meant by the circular flow of income in an open economy and consider the extent to which it can explain economic growth in such an economy.</t>
  </si>
  <si>
    <t xml:space="preserve">Follow the point-based marking guidance at the top of this mark scheme and award: up to 3 marks for AO1 Knowledge and understanding up to 3 marks for AO2 Analysis up to 2 marks for AO3 Evaluation.
AO1 Knowledge and Understanding (max 3 marks) A simple circular flow diagram (1) that clearly shows/ explains separately that expenditure flows from households to firms (1) and that income flows from firms to households (1) Note:, this is all that is required for the knowledge and understanding marks regardless of the complexity of the diagram.
AO2 Analysis (max 3 marks)
     The first two marks are for an analysis of injections greater than withdrawals and how this leads to economic growth/increase in national income and (1) for an analysis of withdrawals greater than injections and how this leads to a fall in economic growth/national income (1).
     Reference must be made in some way to the fact that in open economy injections include income from exports and that leakages includes expenditure on imports along with at least one other example of an injection and one other example of a leakage for the (1).
AO3 Evaluation (max 2 marks)
     Evaluation should explain how the relative sizes of injections and leakages will lead either to economic growth or a fall in economic growth with 1 mark reserved for a justified conclusion.
AO1 Knowledge and understanding: 3
AO2 Analysis: 3
AO3 Evaluation: 2</t>
  </si>
  <si>
    <t xml:space="preserve">9708_m23_22_Q4a (61%), 9708_s26_22_Q5a (55%), 9708_s26_24_Q4a (61%)</t>
  </si>
  <si>
    <t xml:space="preserve">Once again, a relatively new topic and the least popular question in section C. However, many candidates were able to gain reasonable marks. Many had a good grasp of the basic diagram and the correct direction of the flows of income and expenditure between firms and households although some merely referred to the flow of factors of production and goods and services rather than income and expenditure. Similarly, many were able to distinguish between injections and withdrawals in an open economy and were able to explain why economic growth would occur or not because of injections being higher or lower than withdrawals. This was also often explained in the context of X-M due to an open economy. This often also led to valid evaluation. However, some candidates did not draw a valid diagram showing the direction of income and expenditure flows and attempted to explain economic growth in terms of increases in AD/AS which although correct, did not answer the question. Overall, answers were good and as with 2(a) it is hoped that if similar questions are asked in future, more candidates will have the confidence to attempt it.</t>
  </si>
  <si>
    <t xml:space="preserve">9708_s24_22_Q4b</t>
  </si>
  <si>
    <t xml:space="preserve">5.4.2, 5.4.4, 4.4.4</t>
  </si>
  <si>
    <t xml:space="preserve">supply-side policy, long-run growth, productive capacity</t>
  </si>
  <si>
    <t xml:space="preserve">Assess whether supply-side policy is the most effective way to achieve long-run economic growth.</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</si>
  <si>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Long-run economic growth is likely to need both growth of AD and AS  Analysis of the role of supply side policy in achieving long-run economic growth and its advantages and disadvantages. E.g., supply side policy such as training and education is more likely to increase AS, but this can also lead to an increase in AD, for example as better training leads to an increase in income and therefore an increase in consumer spending. It is also less likely to result in inflation. However, it is costly and will take time.  Analysis of the extent to which supply side policy can lead to growth in both AD and AS. For an explanation that a problem with supply side policy is that it is less effective in directly increasing the level of AD.  Analysis of at least one alternative policy e.g., fiscal policy or monetary policy and how they may achieve long-run economic growth, together with their advantages and disadvantages e.g., fiscal policy such as a reduction in income tax is more likely to increase AD and can be relatively quick. It may also indirectly lead to an increase in AS if more people are encouraged to enter the workforce. However, if AS does not increase, it may be inflationary. It may also reduce the amount available for government spending.  Analysis of the extent to which these policies can lead to growth in both AD and AS. For an explanation that a problem with such policies is that they are less effective in directly increasing the level of AS.
Level 1 responses will be assertive and lacking in explanations / mainly descriptive and/or or mainly lacking in relevance to the question.
Level 2 responses may contain some inaccuracies and will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     Requires an assessment of at least one other government policy to be compared against supply side policy in achieving long-run economic growth which leads to      A justified conclusion as to whether supply side policy is the most effective way to achieve long-run economic growth or whether a different policy / combination of policies may be more successful that takes into account the advantages and disadvantages of such policies in increasing both AS and AD.
A one-sided response cannot gain any marks for evaluation.
AO1 Knowledge and understanding and AO2 Analysis: 8
AO3 Evaluation: 4</t>
  </si>
  <si>
    <t xml:space="preserve">9708_s23_22_Q1d (56%), 9708_w23_23_Q4b (68%), 9708_s24_21_Q1e (60%), 9708_w25_23_Q4b (59%)</t>
  </si>
  <si>
    <t xml:space="preserve">The first thing to be noted with this question is that long run economic growth is likely to need increases in AS and AD and although better answers acknowledged this and the limitations of supply side policy in increasing AD, many did not or made very brief reference to it. Standard answers often focused heavily on the advantages and disadvantages of supply side policy and then a similar discussion about fiscal and monetary policy although the latter were often discussed as a means of increasing AS and not AD. Consequently, many answers gained reasonable marks for analysis, they did not really address the issue of long-term growth and the need to increase both AS and AD at a similar rate which depressed evaluation marks. However, those who did acknowledge this and the need to combine demand and supply side policies so neither was necessarily most effective, could and did gain high marks.</t>
  </si>
  <si>
    <t xml:space="preserve">9708_s24_22_Q5a</t>
  </si>
  <si>
    <t xml:space="preserve">protectionism, tariffs, effectiveness</t>
  </si>
  <si>
    <t xml:space="preserve">Explain what is meant by protectionism and consider the effectiveness of using tariffs as a method of protectionism.</t>
  </si>
  <si>
    <t xml:space="preserve">Follow the point-based marking guidance at the top of this mark scheme and award: up to 3 marks for AO1 Knowledge and understanding up to 3 marks for AO2 Analysis up to 2 marks for AO3 Evaluation.
AO1 Knowledge and Understanding (max 3 marks)
Protectionism is when governments attempt to protect domestic businesses against foreign competition (1). It seeks to reduce the impact of the free market/ restrict free trade (1) by increasing the price competitiveness of domestic businesses against foreign competitors (1).
AO2 Analysis (max 3 marks)
     An explanation of how tariffs work (diagram will help although this is not essential) as a method of protectionism i.e., increasing prices of imports and increasing the price competitiveness of domestic businesses. NB: no marks for a diagram unless it is used to explain the impact on the price of imports and how it protects domestic businesses. Up to 2 marks e.g., for an explanation of how tariffs increase the price of imports (1) and how this protects domestic businesses as it increases their price competitiveness (1)      Problems may include possible retaliation, inelastic PED for imports, possible cost push inflationary pressure. Up to 2 marks e.g., retaliation by other countries may offset the impact, if the demand for imports is price inelastic then imports may not fall and domestic businesses will not benefit, if the impact is on imported raw materials, this will lead to cost push inflation and domestic businesses who rely on such imports will not benefit.      If only uses or problems of tariffs are discussed, maximum mark of 2.
AO3 Evaluation (max 2 marks)
     Evaluation should consider how effective tariffs may be considering both how they can protect domestic businesses and the associated problems with 1 mark reserved for a justified conclusion.
AO1 Knowledge and understanding: 3
AO2 Analysis: 3
AO3 Evaluation: 2</t>
  </si>
  <si>
    <t xml:space="preserve">9708_w25_24_Q4a (58%)</t>
  </si>
  <si>
    <t xml:space="preserve">Many candidates were unable to clearly distinguish between what protectionism means and the tools of protection. This led to some lower-than-expected AO1 marks. Candidates need to be reminded that protectionism is not simply protecting domestic businesses and nor is it a list of the tools of protection. It is a means of governments protecting domestic businesses from foreign competition by interventions in the free market/free trade usually to increase the price competitiveness of domestic businesses at home and/or overseas. The tools simply work in different ways to achieve these objectives. As in 3(a), this question focused on one tool/policy i.e., tariffs, and a discussion of alternative policies was not relevant. Similarly, the policy needed to be judged in the context of how effective it was in terms of the success in protecting domestic businesses compared with the defined meaning of protectionism. Therefore, although there was a great deal of accurate knowledge, despite allowances being made in the mark scheme, marks were often disappointing as answers often did not fully address the question. Better answers referred to the problems caused by inelastic PED for imports and the fact that trading partners may retaliate but this was not always clearly analysed in terms of its effect on e.g., the competitiveness of domestic businesses and so evaluation was often weak or simply e.g., quotas would be better, and this did not answer the question.</t>
  </si>
  <si>
    <t xml:space="preserve">9708_s24_22_Q5b</t>
  </si>
  <si>
    <t xml:space="preserve">free trade, protectionism, developing economy, infant industry</t>
  </si>
  <si>
    <t xml:space="preserve">Assess whether free trade is always better than a policy of protectionism for a developing economy that wishes to trade internationally.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</si>
  <si>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Analysis of the advantages and disadvantages of free trade and  Analysis of the advantages and disadvantages of protectionism  Both in the context of a developing economy.
Guidance: The advantages of free trade may include:  Efficient allocation of resources due to specialisation and comparative advantage.  An opportunity to take advantage of different factor endowments.  Competitive pressure to keep costs down / increase efficiency / lower prices for consumers.  Higher output / economies of scale and increased choice and availability for consumers.  Disadvantages may include:  Over exploitation of scarce resources.  Closure of domestic industries and /or problems for developing industries leading to unemployment particularly in a developing economy.  Dumping / unfair competition.  It is likely that the advantages of protectionism will result from the disadvantages of free trade and the disadvantages of protectionism will result from the advantages of free trade.
Level 1 responses will be assertive and lacking in explanations / mainly descriptive and/or or mainly lacking in relevance to the question.
Level 2 responses may contain some inaccuracies and will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NOTE: if the analysis is not in the context of a developing economy, then L2 maximum.
AO3 Evaluation
     Requires an assessment of the advantages and disadvantages of both free trade and protectionism in the context of a developing economy and a comparison of both policies which leads to      A justified conclusion as to which policy may be best for a developing economy that wishes to trade internationally.      Note: if the evaluation is not in the context of a developing economy, then no evaluation marks can be awarded.
A one-sided response cannot gain any marks for evaluation.
AO1 Knowledge and understanding and AO2 Analysis: 8
AO3 Evaluation: 4</t>
  </si>
  <si>
    <t xml:space="preserve">Many candidates offered standard discussions about the advantages and disadvantages of free trade against the advantages and disadvantages of protectionism. Often this included discussions about absolute and comparative advantage and the benefits of comparative advantage in boosting e.g., overall output. Although much of this discussion was accurate and displayed good knowledge and understanding, it was often poorly applied to a developing economy which was often referred to (if at all), in passing. Whilst there were quite a number of generic answers that were not fully applied, there were some excellent responses that highlighted the dilemma faced by developing countries namely, the need to trade freely their (often) primary products whilst at the same time trying to protect their infant industries and avoid exploitation of their scarce resources. Better answers evaluated the overall question by referring to the timescale, e.g., protectionism in the short term and a move to more free trade in the long term. The full range of marks was evident in this question, and it emphasised the need (as in all questions) to carefully read and answer the question set rather than a slightly different one.</t>
  </si>
  <si>
    <t xml:space="preserve">9708_s24_23_Q1a</t>
  </si>
  <si>
    <t xml:space="preserve">4.6.3, 5.3.2</t>
  </si>
  <si>
    <t xml:space="preserve">real interest rate, nominal vs real</t>
  </si>
  <si>
    <t xml:space="preserve">Turkey – unconventional monetary policy</t>
  </si>
  <si>
    <t xml:space="preserve">Use the information provided to calculate the real interest rate for Turkey in January 2022.</t>
  </si>
  <si>
    <t xml:space="preserve">     For a correct answer of -34.7% (2)      For an answer of 34.7% without the minus sign (1) OR      For the correct formula with an incorrect calculation OR no calculation (1)
Guidance: The case study gives the annual year on year increase in consumer prices (48.7%) and the interest rate of (14%). The real interest rate is negative and is the difference between the two, namely 34.7%</t>
  </si>
  <si>
    <t xml:space="preserve">It was very clear that very few candidates had any real understanding of what is meant by or how to calculate real interest rates in an economy. It is the actual interest rate minus the rate of inflation and in this case, 14 per cent – 48.7 per cent = –34.7 per cent. There were some extremely strange answers, and a significant number of candidates offered no response so the majority gained zero marks,</t>
  </si>
  <si>
    <t xml:space="preserve">9708_s24_23_Q1bi</t>
  </si>
  <si>
    <t xml:space="preserve">6.4.3, 6.4.4</t>
  </si>
  <si>
    <t xml:space="preserve">depreciation, interest rates, currency demand</t>
  </si>
  <si>
    <t xml:space="preserve">Explain why the Turkish lira depreciated from September 2021.</t>
  </si>
  <si>
    <t xml:space="preserve">For an identification of a likely reason. These may include a fall in the short- term interest rate from 19% to 14%, an increase in the rate inflation from 36.1% to 48.7%, low producer and consumer confidence, a fear of a collapse in the banking system (1)
For an explanation as to how this leads to a depreciation of the lira i.e., these reasons will lead to a fall in demand for the lira (in the forex market) leading to a fall in its value (1)</t>
  </si>
  <si>
    <t xml:space="preserve">9708_w23_21_Q1c (62%)</t>
  </si>
  <si>
    <t xml:space="preserve">All candidates needed to do for the first mark was to identify a possible reason for the depreciation of the Turkish lira. Reasons were clearly identified in the text although from any elaboration offered it was obvious that many candidates did not understand why the reason itself led to a fall in demand for the lira in the forex market and therefore a depreciation in its value. Better candidates easily gained 2 marks whilst weaker candidates gained 1 mark due to an identification regardless of what was written afterwards.</t>
  </si>
  <si>
    <t xml:space="preserve">9708_s24_23_Q1bii</t>
  </si>
  <si>
    <t xml:space="preserve">6.4.5</t>
  </si>
  <si>
    <t xml:space="preserve">depreciation, exporters, imported raw materials</t>
  </si>
  <si>
    <t xml:space="preserve">Consider the extent to which producers in Turkey are likely to have been affected by the depreciation of the lira on the foreign exchange market from September 2021.</t>
  </si>
  <si>
    <t xml:space="preserve">Up to 3 marks for an explanation of how producers in Turkey may have been affected by the depreciation of the lira. e.g., the price of imported raw materials will rise (1) which will lead to an increase in the cost of production (1) which will lead to reduced price competitiveness for Turkish producers leading to lowered demand (1)
Other points to consider include e.g.:  It may reduce the incentive for domestic producers to invest (1) because of uncertainty (1) leading to further reductions in competitiveness (1)  Because of the fall in the perceived price of exports (1) this will increase price competitiveness (1) and lead to an increase in demand (1)
For valid evaluation of the extent of the effect (1 mark). E.g., it will depend upon the reliance of imported raw materials.</t>
  </si>
  <si>
    <t xml:space="preserve">Most candidates who gained marks did so by brief reference to the impact on the price of exports i.e., becoming more competitive and the price of imports i.e., becoming less competitive and the resulting boost to domestic producers. The impact on raw material import prices and the resultant increases in costs of production leading to possible reductions in price competitiveness was also considered by better candidates. However, a fall in investment by domestic producers due to uncertainty over the value of the lira in the forex market was very rarely considered. As the discussion tended to be very simplistic, evaluation was very rare and tended not to consider PED values or the reliance on imported raw materials so total marks tended to be 2 – 3.</t>
  </si>
  <si>
    <t xml:space="preserve">9708_s24_23_Q1c</t>
  </si>
  <si>
    <t xml:space="preserve">;5.3;4.6;4.4;</t>
  </si>
  <si>
    <t xml:space="preserve">5.3.3, 5.3.4, 4.6.5</t>
  </si>
  <si>
    <t xml:space="preserve">expansionary monetary policy, inflation, growth, exports</t>
  </si>
  <si>
    <t xml:space="preserve">Assess whether Mr Erdoğan’s economic policies have had a beneficial impact on Turkey’s economy since 2020.</t>
  </si>
  <si>
    <t xml:space="preserve">Up to 2 marks for explanation / analysis of the possible positive effects e.g., short term interest rates have fallen, and this may lead to further investment, the year on year % CPI has flattened by the end of 2022 which may increase consumer confidence.
Up to 2 marks for explanation / analysis of the possible negative effects e.g., food prices, transport and energy costs have increased, and these affect all consumers, the lira has collapsed in the foreign exchange market, increasing import prices etc.
Up to 2 marks for evaluation of the relative positive and negative effects.
Reserve 1 mark for a justified conclusion.</t>
  </si>
  <si>
    <t xml:space="preserve">The extract offered many useful reference points but many of the answers were uncritical and rarely offered much explanation as to why the separate outcomes suggested that the policies were beneficial or not. For example, rising prices were often referred to as showing that the policies were not beneficial but why and for who? Similarly, the collapse in the value of the lira was also often cited as a disadvantage due to increasing import prices but they would not be disadvantageous to all the economy, Also, very little reference was actually made to possible benefits such as the fall in interest rates and the flattening of recent CPI rates which might lead to more investor and consumer confidence. Whilst there were some good marks generated on this question for a genuine critical analysis, many candidates resorted to copying out or paraphrasing chunks of the extract and also tended to ignore one side of the analysis with the effect that the answer gained only 1 – 2 marks.</t>
  </si>
  <si>
    <t xml:space="preserve">9708_s24_23_Q1d</t>
  </si>
  <si>
    <t xml:space="preserve">;5.2;5.4;4.6;</t>
  </si>
  <si>
    <t xml:space="preserve">5.2.6, 5.4.4, 4.6.4</t>
  </si>
  <si>
    <t xml:space="preserve">contractionary fiscal policy, supply-side policy, inflation control</t>
  </si>
  <si>
    <t xml:space="preserve">Excluding interest rate changes, assess what alternative policies might be used to reduce Turkey’s rate of inflation.</t>
  </si>
  <si>
    <t xml:space="preserve">Up to 2 marks for explanation / analysis of the possible effect of one alternative policy e, g., a reduction in money supply or tighter restrictions on credit i.e., additional monetary policy. These may successfully reduce AD due to less money being available for C or I but may reduce economic growth. (1 mark for an explained advantage and 1 mark for an explained disadvantage)
Up to 2 marks for explanation / analysis of the possible effect of a second alternative policy e.g., fiscal policy to increase taxation or reduced government spending. This may reduce AD as it has a direct effect of reducing C and I but it may reduce e.g., the incentive to work as taxation increases. (1 mark for an explained advantage and 1 mark for an explained disadvantage)
Up to 2 marks for evaluation that clearly assesses the likely advantages and disadvantages of these policies in comparison with each other / against interest rate changes. Reserve 1 mark for a valid conclusion.
Guidance: Other possibilities include:  Use of supply side policy</t>
  </si>
  <si>
    <t xml:space="preserve">Candidates need to be reminded that a simple display of knowledge and understanding is insufficient for credit in questions such as these. Answers must explain how, in this case, the policy may reduce the rate of inflation and for balance, what may be the weakness. As the question refers to policies, it was also necessary to discuss at least two alternatives. Most candidates chose to explain other types of monetary policy including the manipulation of exchange rates and credit restrictions plus fiscal and supply –side policy. Strangely, some referred to interest rate changes having clearly not read the question fully. It was possible to gain good marks for this question but only as aforementioned, if explanations were given as to how they would work rather than overviews of the policies themselves e.g., stating that fiscal policy is the manipulation of government spending and tax but no explanation as to how inflation may be reduced. Drawbacks also had to be explained for each and the likely success of the policies judged against each other to gain full marks,</t>
  </si>
  <si>
    <t xml:space="preserve">9708_s24_23_Q2a</t>
  </si>
  <si>
    <t xml:space="preserve">determinants of demand, electric cars, government policy</t>
  </si>
  <si>
    <t xml:space="preserve">From 2030, most new car production in the United Kingdom (UK) will be of electric cars. Excluding the price of electric cars, explain the determinants of demand for electric cars and consider which of these determinants is likely to be of greatest significance at the present time.</t>
  </si>
  <si>
    <t xml:space="preserve">Follow the point-based marking guidance at the top of this mark scheme and award: up to 3 marks for AO1 Knowledge and understanding up to 3 marks for AO2 Analysis up to 2 marks for AO3 Evaluation.
AO1 Knowledge and Understanding (max 3 marks) Knowledge and understanding of income, price and availability of substitutes and fashion, taste and attitudes.
For an explanation of what is meant by the role of income, price and availability of substitutes, complements, fashion, taste, and attitudes as determinants of demand. (1x3)
AO2 Analysis (max 3 marks)
For analysis of the significance at the present time of at least 2 of these determinants. e.g., attitudes may have a great significance because of an increased awareness of the impact on the environment. e.g., income may have a great significance if economies are in recession. e.g., if petrol prices rise leading to a fall in demand for petrol-driven cars then the demand for electric cars may rise.
Up to 2 marks for any developed point.
AO3 Evaluation (max 2 marks)
For a clear consideration which of the determinants is likely to be the most significant at the present time. Reserve 1 mark for a justified conclusion.
AO1 Knowledge and understanding: 3
AO2 Analysis: 3
AO3 Evaluation: 2</t>
  </si>
  <si>
    <t xml:space="preserve">Clearly, this is a highly topical question and one which many candidates (it was the most popular question in the section) had a strong view on, normally from the perspective of the environment. Unfortunately, many candidates did not approach it using an economics approach and there was a great deal of generalised discussion that was often repetitive and of limited value. Better candidates were able to refer specifically to the role of income, tastes and attitudes and more often, the price and availability of complements and substitutes. Such candidates were then able to make a compelling case for income and energy (including petrol and electricity) prices being most significant at the present time and draw relevant conclusions. Sadly, such analysis was rare despite the question being accessible to most candidates.</t>
  </si>
  <si>
    <t xml:space="preserve">9708_s24_23_Q2b</t>
  </si>
  <si>
    <t xml:space="preserve">XED, YED, electric cars</t>
  </si>
  <si>
    <t xml:space="preserve">Assess whether cross elasticity of demand is likely to be more important in determining the demand for electric cars than income elasticity of demand.</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</si>
  <si>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Explanation of what is meant by cross elasticity of demand.      The significance of the price and availability of substitute models of both petrol and electric cars and their complements e.g., petrol and charging points etc.      The weaknesses of the concept.      Explanation of what is meant by income elasticity of demand.      The significance of income in the decision to purchase an electric car including the relationship of changes in income to changes in demand.      The weaknesses of the concept.
Level 1 responses will be assertive and lacking in explanations / mainly descriptive and/or or mainly lacking in relevance to the question.
Level 2 responses may contain some inaccuracies and will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That clearly assesses the extent to which cross elasticity of demand is likely to be more important than income elasticity of demand in determining the demand for electric cars by comparing the significance and weaknesses of both concepts and reaches a justified conclusion.
A one-sided response cannot gain any marks for evaluation.
AO1 Knowledge and Understanding and AO2 Analysis: 8
AO3 Evaluation: 4</t>
  </si>
  <si>
    <t xml:space="preserve">9708_w21_23_Q3b (58%)</t>
  </si>
  <si>
    <t xml:space="preserve">There were quite a number of accurate and not so accurate demonstrations of knowledge and understanding of what is meant by cross elasticity of demand and income elasticity of demand. This was often accompanied by formulae, definitions and graphs again, some accurate and some inaccurate. However, application to the question of which was most important in determining the demand for electric cars was much rarer. As pointed out in the key comments, such an approach alone is level AO1 even if described well. Level AO2 responses must be applied and relatively few candidates were able to do this confidently. Consequently, evaluation marks were rare, and marks overall tended to be low. Candidates need to be encouraged to limit the demonstration of knowledge and understanding and focus more on how, in this case XED and YED could be used to determine the demand for electric cars.</t>
  </si>
  <si>
    <t xml:space="preserve">9708_s24_23_Q3a</t>
  </si>
  <si>
    <t xml:space="preserve">;1.5;1.4;</t>
  </si>
  <si>
    <t xml:space="preserve">1.5.1, 1.5.3, 1.4.1</t>
  </si>
  <si>
    <t xml:space="preserve">PPC, consumer vs capital goods, mixed economy</t>
  </si>
  <si>
    <t xml:space="preserve">Use a production possibility curve (PPC) diagram to explain how a government in a mixed economy might allocate more resources to consumption and fewer resources to investment and consider a limitation of this approach to resource allocation.</t>
  </si>
  <si>
    <t xml:space="preserve">Follow the point-based marking guidance at the top of this mark scheme and award: up to 3 marks for AO1 Knowledge and understanding up to 3 marks for AO2 Analysis up to 2 marks for AO3 Evaluation.
AO1 Knowledge and understanding (max 3 marks)
     For a fully accurate diagram that is clearly labeled as consumer goods and capital goods with the curve touching both axes. (1)      The diagram must show the movement from capital goods to consumer goods e.g., by means of an arrow (1)      Accompanied by an explanation that this is a movement along the curve (rather than a shift). (1)
AO2 Analysis (max 3 marks
Of how a government might allocate more resources to consumption and less to investment e.g.:  By reducing taxes on income / consumer expenditure. (1)  By increasing government expenditure to provide subsidies for consumers. (1)  By reducing government support to businesses for investment. (1) (Maximum of 2 marks overall)  PLUS 1 mark if shown on a diagram as either a movement along the curve or shift within the curve that is clearly explained.
AO3 Evaluation (max 2 marks)
For a clear assessment of the limitations of this approach including an assessment of time lags, the possible response of businesses and consumers etc. Reserve 1 mark for a justified conclusion
AO1 Knowledge and understanding: 3
AO2 Analysis: 3
AO3 Evaluation: 2</t>
  </si>
  <si>
    <t xml:space="preserve">Fewer candidates attempted this question than Question 2, and those who did clearly found it challenging. Although most who attempted the question were able to draw a valid diagram, most were unable to demonstrate that a move to allocate more resources to consumption would be represented by a movement along the curve towards the consumption axis. Furthermore, many candidates were unable to offer much in the way of explanation as to how a government could ensure more resources were allocated in this way. Those who did generally referred to subsidies, but it was not always clear that these should be for consumers rather than businesses. Reducing support to businesses for investment was rarely mentioned as was reducing income tax or taxes on consumer expenditure, Similarly, any valid evaluation was rare. This was a slightly different approach to a fairly standard question but clearly the few candidates who attempted it found it difficult to answer.</t>
  </si>
  <si>
    <t xml:space="preserve">9708_s24_23_Q3b</t>
  </si>
  <si>
    <t xml:space="preserve">1.5.3, 4.4.4, 4.4.5</t>
  </si>
  <si>
    <t xml:space="preserve">investment, capital goods, future growth, opportunity cost</t>
  </si>
  <si>
    <t xml:space="preserve">Assess whether producers are the only ones to benefit when an economy decides to allocate additional resources to investment.</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</si>
  <si>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For an explanation / analysis of the benefits and costs to a producer e.g., producers will benefit as additional investment is likely to reduce costs of production, make them more price competitive both domestically and internationally, increase their profits etc. Costs may include the fact that taxes may have to rise to fund the additional investment, much of the growth will be international so businesses who focus on the domestic market may not benefit.      For an explanation/ analysis of the benefits and costs to the consumer e.g., in the long term this may lead to wider choice and lower prices but in the short term, taxes may increase to fund the additional investment, there may be fewer goods available to consumers and higher prices.      For an explanation/ analysis of the benefits and costs to a government e.g., an increase in tax revenue in the long-term but an increase in expenditure in the short-term.
Level 1 responses will be assertive and lacking in explanations / mainly descriptive and/or or mainly lacking in relevance to the question.
Level 2 responses may contain some inaccuracies and will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For an assessment of whether producers are the only ones to benefit from additional investment compared to consumers and the government which may depend on the level of development of economy and extent of government involvement.
Accept all valid responses.
A one-sided response cannot gain any marks for evaluation.
AO1 Knowledge and understanding and AO2 Analysis: 8
AO3 Evaluation: 4</t>
  </si>
  <si>
    <t xml:space="preserve">There were some reasonable answers that discussed the trade off involving short run and long run effects mainly for consumers and governments. However, in the few answers available, most just simply assumed producers would gain as they could make additional profits, consumers would have more choice and governments would receive more revenue without any critical analysis which led to Level 1/2 responses. However, for the few who critically examined the time scale e.g., the fact that in the short run consumers might have less resources and choice available and may need to pay higher taxes to fund investment by government, in the long run more choice may be available, and government may gain increased tax revenue. In this group, candidates were then able to make reasonable evaluation as to whether producers would be the only ones to benefit.</t>
  </si>
  <si>
    <t xml:space="preserve">9708_s24_23_Q4a</t>
  </si>
  <si>
    <t xml:space="preserve">4.3.12, 4.3.8, 4.6.4</t>
  </si>
  <si>
    <t xml:space="preserve">AD increase, real output, price level, demand-pull inflation</t>
  </si>
  <si>
    <t xml:space="preserve">With the help of a diagram, explain how increases in aggregate demand affect the level of real output and the price level in an economy and consider when such increases may become a problem.</t>
  </si>
  <si>
    <t xml:space="preserve">Follow the point-based marking guidance at the top of this mark scheme and award: up to 3 marks for AO1 Knowledge and understanding up to 3 marks for AO2 Analysis up to 2 marks for AO3 Evaluation.
AO1 Knowledge and understanding (max 3 marks)
     An understanding of the components of AD i.e., C+G+I+X-M. (1)      An accurately labeled AD/AS diagram showing the initial equilibrium point. (1)      That also shows a shift or shifts to the right of the AD curve and the subsequent changes in the price level and real GDP. (1)
AO2 Analysis (max 3 marks)
     For an explanation of why AD might increase. (1)      For an explanation of why this increase may not cause problems such as inflation e.g., because of the shape of the AS curve, because AS may increase in line with AD if the increase is due to an increase in I. (1)      For an explanation of why it may cause problems e.g., the economy is at full capacity and AS cannot increase. (1)
AO3 Evaluation (max 2 marks)
For valid evaluation e.g., a recognition that increases in AD may result in an inflationary increase in the price level beyond the full employment level of output. Reserve 1 mark for a justified conclusion.
AO1 Knowledge and understanding: 3
AO2 Analysis: 3
AO3 Evaluation: 2</t>
  </si>
  <si>
    <t xml:space="preserve">9708_w23_22_Q5a (60%), 9708_s26_23_Q4a (99%)</t>
  </si>
  <si>
    <t xml:space="preserve">This was by far the most popular question in section C. It also had a full range of marks. The main reason for very low marks was simply an inaccurate, often micro diagram that occasionally inverted the S and D curves and sometimes, despite the question, had no diagram at all. For weaker candidates, the diagram was the only source of marks for knowledge and understanding. However, better candidates were able to offer an explanation as to why AD might rise and how this might affect real output and the price level depending on the shape of the AS curve or whether AS shifted along with the increase in AD e.g., if it was a result of an increase in I. Such candidates also often made clear references to the extent of spare capacity in the economy and were able to offer valid evaluation of the extent of the problem of inflation depending on spare capacity.</t>
  </si>
  <si>
    <t xml:space="preserve">9708_s24_23_Q4b</t>
  </si>
  <si>
    <t xml:space="preserve">;4.5;4.3;5.4;</t>
  </si>
  <si>
    <t xml:space="preserve">4.5.3, 4.3.12, 5.4.4</t>
  </si>
  <si>
    <t xml:space="preserve">aggregate demand, unemployment, supply-side alternatives, high-income country</t>
  </si>
  <si>
    <t xml:space="preserve">Assess whether increases in aggregate demand are the best way of reducing unemployment in a high-income country.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</si>
  <si>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 understanding of what is meant by unemployment and the main types in a high-income economy.  For a recognition that increases in aggregate demand arise normally from fiscal and / or monetary policy.  An analysis of how policies to increase AD e.g., by reducing taxes, increasing government spending, reducing interest rates etc., may reduce cyclical unemployment but may not reduce structural unemployment.  An analysis of how supply side policy may reduce unemployment by influencing AS e.g., through training and education, deregulation etc., but has limitations e.g., it is a long-term approach and may be costly and does not address the issue of falls in AD responsible for cyclical unemployment
Level 1 responses will be assertive and lacking in explanations / mainly descriptive and/or or mainly lacking in relevance to the question.
Level 2 responses may contain some inaccuracies and will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L2 max if no reference to high-income countries
AO3 Evaluation
For a clear assessment as to whether increases in AD compared with increases in AS are the best way to reduce unemployment in a high-income economy leading to a justified conclusion.
N.B. if no reference to a high-income country, no evaluation marks may be awarded
Accept all valid responses.
A one-sided response cannot gain any marks for evaluation.
AO1 Knowledge and understanding and AO2 Analysis: 8
AO3 Evaluation: 4</t>
  </si>
  <si>
    <t xml:space="preserve">This was a straightforward question, and the better candidates had a good understanding that it depended upon the type of unemployment as to whether increases in AD or supply side policy was the best option. Weaker candidates tended to just describe various policies without any critical analysis or differentiation about the extent to which they could reduce e.g., structural and cyclical unemployment. As ever, the degree of explanation of the policies and the links to how effectively all types of unemployment could be reduced determined the level of marks awarded. The reference to a high-income country was rarely made and even when it was, it was only generally made in passing. Evaluation tended to be summative and assertive and added on as an afterthought. It would assist candidates if more emphasis was placed on this skill given the number of marks now allocated to A03.</t>
  </si>
  <si>
    <t xml:space="preserve">9708_s24_23_Q5a</t>
  </si>
  <si>
    <t xml:space="preserve">terms of trade, export prices, low-income countries</t>
  </si>
  <si>
    <t xml:space="preserve">Explain two possible causes of a change in the terms of trade in an economy and consider which of these causes is likely to be more important for low-income countries.</t>
  </si>
  <si>
    <t xml:space="preserve">Follow the point-based marking guidance at the top of this mark scheme and award: up to 3 marks for AO1 Knowledge and understanding up to 3 marks for AO2 Analysis up to 2 marks for AO3 Evaluation.
AO1 Knowledge and understanding (max 3 marks)
     Explanation of what is meant by the terms of trade i.e., the ratio of export price index to the import price index. (1)      It measures the number of exports that have to be sold to buy a given number of imports. (1)      Terms of trade are said to improve when the ratio increases and / or to deteriorate when the ratio falls. (1)
AO2 Analysis (max 3 marks)
     The two main causes of changes in the terms of trade occur e.g., when there is an increase in export prices and a fall in import prices. Such changes are often the result of changes in the demand for exports and the demand for imports. (1)      Low-income countries are more likely to export primary goods and to import manufactured goods. The demand for primary goods may be lower than that for manufactured goods when income rises, e.g., for agricultural goods, so import prices may fall and terms of trade deteriorates. (1)      However, commodity prices such as oil may have an inelastic demand and prices may rise leading to an improvement in terms of trade. (1) .
AO3 Evaluation (max 2 marks)
For evaluation that considers the significance of changes in terms of trade for low-income countries that are producers of food stuffs and similar products compared to the benefits for low-income countries that have exports of products such as minerals that are in high demand in high-income countries. Reserve 1 mark for a justified conclusion.
AO1 Knowledge and understanding: 3
AO2 Analysis: 3
AO3 Evaluation: 2</t>
  </si>
  <si>
    <t xml:space="preserve">9708_s25_24_Q5a (56%)</t>
  </si>
  <si>
    <t xml:space="preserve">It is impossible to offer an adequate assessment of how this question was approached. Very few candidates attempted it and only one reasonable answer was seen. Candidates in general did not understand what is meant by terms of trade. There was great confusion as to whether it referred to the rules of trade or the balance of trade which meant the vast majority of answers gained 0 marks for both parts of the question. Clearly, this is a part of the syllabus that requires more attention.</t>
  </si>
  <si>
    <t xml:space="preserve">9708_s24_23_Q5b</t>
  </si>
  <si>
    <t xml:space="preserve">6.2.2, 6.1.3</t>
  </si>
  <si>
    <t xml:space="preserve">tools of protection, terms of trade</t>
  </si>
  <si>
    <t xml:space="preserve">Assess the extent to which different tools of protection can impact on the terms of trade in an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</si>
  <si>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 explanation of what is meant by tools of protection.  Explanation of the different tools of protection and how they may impact the terms of trade.  Examples include tariffs which are used to increase import prices which will reduce the terms of trade but may improve them if domestic producers including infant industries are encouraged to invest and build up demand and increase export prices. However, retaliation and inelastic PED for imports may reduce the positive impact.  Other examples include import quotas, embargoes, exchange rate manipulation etc. At least one additional tool should be explained and analysed in terms of its advantages and disadvantages in relation to its impact on the terms of trade.
Level 1 responses will be assertive and lacking in explanations / mainly descriptive and/or or mainly lacking in relevance to the question.
Level 2 responses may contain some inaccuracies and will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Evaluation must focus on the impact of the tools of protection on the terms of trade. This should lead to a justified conclusion.
Accept all valid responses.
A one-sided response cannot gain any marks for evaluation.
AO1 Knowledge and understanding and AO2 Analysis: 8
AO3 Evaluation: 4</t>
  </si>
  <si>
    <t xml:space="preserve">9708_w24_21_Q1a</t>
  </si>
  <si>
    <t xml:space="preserve">inflation trend, disinflation, data trend</t>
  </si>
  <si>
    <t xml:space="preserve">Argentina – high inflation</t>
  </si>
  <si>
    <t xml:space="preserve">Using the data in Fig. 1.1, describe the trend shown in the annual inflation rate in Argentina over the period February 2021 to January 2022.</t>
  </si>
  <si>
    <t xml:space="preserve">• The overall trend during this period has been upward/increasing/rising from 40.7% in February 2021 to 50.7% in January 2022. (1)
• Within this overall upward trend, there has actually been a downward trend from 52.5% in September 2021 to 50.7% in January 2022. (1)</t>
  </si>
  <si>
    <t xml:space="preserve">9708_s22_21_Q1a (56%)</t>
  </si>
  <si>
    <t xml:space="preserve">Many candidates were able to correctly describe the trend shown in the annual inflation rate in Argentina over the period from February 2021 to January 2022, recognising that the overall trend during this period had been upward by 10.0% from 40.7% in February 2021 to 50.7% in January 2022, while at the same time recognising that there had been a period of disinflation with a downward trend from 52.5% in September 2021 to 50.7% in January 2022. Unfortunately, some candidates wrote about what was happening in each of the months shown in Fig 1.1, or about different fluctuations at various times, rather than focusing on the overall trend over the whole period.</t>
  </si>
  <si>
    <t xml:space="preserve">9708_w24_21_Q1b</t>
  </si>
  <si>
    <t xml:space="preserve">Explain what is meant by ‘the real interest rate will be negative’ in Argentina in January 2022.</t>
  </si>
  <si>
    <t xml:space="preserve">• It is when the interest rate is lower than the inflation rate in Argentina. (1)
• In January 2022, it would be -10.7%/or method of calculation. (1)</t>
  </si>
  <si>
    <t xml:space="preserve">Many candidates were able to explain what was meant by ‘the real interest rate will be negative’ in Argentina in January 2022, stressing that this meant that the interest rate was lower than the inflation rate in Argentina with the result that the real interest rate would be –10.7%. A number of candidates simply explained what was meant by a real interest rate, making no reference to the fact that it was negative in this particular context, and such answers could not be given any marks.</t>
  </si>
  <si>
    <t xml:space="preserve">9708_w24_21_Q1c</t>
  </si>
  <si>
    <t xml:space="preserve">consequences of inflation, competitiveness, menu costs</t>
  </si>
  <si>
    <t xml:space="preserve">Consider the extent to which having ‘the fifth highest inflation rate in the world’ is likely to be a problem for Argentina’s economy.</t>
  </si>
  <si>
    <t xml:space="preserve">Explanation of why a high rate of inflation in Argentina might be a problem for Argentina’s economy, such as in terms of:
• a reduced purchasing power of money
• less competitive exports
• menu costs
• shoe leather costs
• uncertainty in the economy and the possible impact on investment
• the possible negative impact on savers
• the possible negative impact on fixed income earners.
However, there could be some benefits, such as:
• increase in profits for firms
• lower debt in real terms.
Max 3 marks (Up to 2 marks for problems and up to 1 mark for benefits)
Evaluation
Offers a valid judgement on the extent to which a high rate of inflation in Argentina is a serious economic problem, taking into account how its rate of inflation compares with other countries and/or the fact that inflation can have benefits, such as an increase in profits for firms where prices rise by more than costs and an advantage for borrowers whose debt will be less in real terms.
Max 1 mark</t>
  </si>
  <si>
    <t xml:space="preserve">Many candidates were able to consider the extent to which having ‘the fifth highest inflation rate in the world’ was likely to be a problem for Argentina’s economy, in relation to such aspects as the reduced purchasing power of money, less competitive exports, menu costs, shoe leather costs, uncertainty in the economy and the possible impact of this on investment, and the possible negative impact on savers and fixed income earners. The consideration also needed to take into account potential benefits, such as a possible increase in profits of firms and the fact that there would be a lower debt in real terms, but very few candidates referred to potential benefits. Very few candidates made any attempt to offer any evaluation despite the fact that the question explicitly asked them to consider the extent to which having the ‘fifth highest inflation rate in the world’ was likely to be a problem for Argentina’s economy.</t>
  </si>
  <si>
    <t xml:space="preserve">9708_w24_21_Q1d</t>
  </si>
  <si>
    <t xml:space="preserve">Assess whether the potential benefits of introducing maximum prices on 1432 products in Argentina are likely to outweigh the potential disadvantages.</t>
  </si>
  <si>
    <t xml:space="preserve">Up to 4 marks for explanation/analysis:
• Explanation of potential benefits of a maximum price, including keeping prices of the products, such as the prices of essential foods/basic necessities, lower than they would otherwise be and so contributing to a possible lowering of the rate of inflation in the economy. (Up to 3 marks)
• Explanation of potential disadvantages of a maximum price, including the creation of excess demand and a shortage, the possibility of a queue or waiting list, the creation of rationing and the existence of an informal market. (Up to 3 marks)
The question does not explicitly require a diagram to be drawn, but credit can be given for one if it aids the explanation/analysis.
Max: 4 marks
Up to 2 marks for evaluation:
Relevant evaluation of whether the potential benefits of introducing a maximum price on 1432 products in Argentina will outweigh the potential disadvantages, such as excess demand, the need for rationing and the possibility of an unofficial economy arising (1) leading to a conclusion. (1)</t>
  </si>
  <si>
    <t xml:space="preserve">9708_s26_24_Q1d (56%)</t>
  </si>
  <si>
    <t xml:space="preserve">The majority of candidates were able to explain and analyse the various possible benefits and advantages of introducing maximum prices on 1432 products in Argentina. The benefits included keeping the prices of many products, including essential foods and basic necessities, lower than they would otherwise be, contributing to a possible reduction in the rate of inflation. The disadvantages included the creation of a situation of excess demand and a shortage and the possibility of a queue or waiting list, the existence of rationing and the creation of an informal market. A number of candidates included a diagram to help with their analysis. Relatively few candidates then went on to offer a meaningful evaluation or judgement of whether the potential benefits of introducing maximum prices were likely to outweigh the potential disadvantages. Many candidates simply offered a summary of what they had already written. It is important that candidates realise when they are required to offer some evaluation; this is why a careful reading of the question is so important.</t>
  </si>
  <si>
    <t xml:space="preserve">9708_w24_21_Q1e</t>
  </si>
  <si>
    <t xml:space="preserve">contractionary monetary policy, interest rates, inflation control</t>
  </si>
  <si>
    <t xml:space="preserve">Assess the potential benefits and limitations of using monetary policy to control inflation in a country such as Argentina.</t>
  </si>
  <si>
    <t xml:space="preserve">Up to 4 marks for explanation/analysis:
• Explanation/analysis of the potential benefits of using monetary policy to control inflation in a country such as Argentina, such as the possibility that this will lead to a reduction in aggregate demand and how this may reduce inflation. (Up to 3 marks)
• Explanation/analysis of the potential limitations of using monetary policy to control inflation in a country such as Argentina, such as the difficulty of knowing what the appropriate interest rate should be and the possibility that demand could be relatively interest-inelastic and the meaning of this. (Up to 3 marks)
Max: 4 marks
Up to 2 marks for evaluation:
• Relevant evaluation which weighs up the potential benefits and limitations of using monetary policy to control inflation in a country such as Argentina. (1)
• A conclusion on the likely overall effect. (1)</t>
  </si>
  <si>
    <t xml:space="preserve">A number of candidates made quite a good attempt to assess the potential benefits and limitations of using monetary policy to control inflation in a country such as Argentina. The potential benefits were assessed particularly well, especially in relation to how a contractionary monetary policy could lead to a reduction in aggregate demand, such as through increased saving and reduced borrowing as a result of an increase in interest rates. Some candidates then wrote about the disadvantages of monetary policy rather than its limitations, or about the disadvantages of inflation. The focus needed to be on the limitations of monetary policy as a way of controlling inflation, such as the possibility that a rise in interest rates would not have a significant impact on controlling inflation if demand was interest-inelastic. As in the previous question, many candidates did not attempt to offer any evaluation of the potential benefits and limitations of using monetary policy to control inflation despite the fact that the command word used in the question was ‘assess’.</t>
  </si>
  <si>
    <t xml:space="preserve">9708_w24_21_Q2a</t>
  </si>
  <si>
    <t xml:space="preserve">2.1.4</t>
  </si>
  <si>
    <t xml:space="preserve">determinants of supply, agricultural products, weather</t>
  </si>
  <si>
    <t xml:space="preserve">Explain the determinants of supply for an agricultural product, such as rice, and consider which of these determinants is likely to be of the greatest significance at the present time.</t>
  </si>
  <si>
    <t xml:space="preserve">Follow the point-based marking guidance at the top of this mark scheme and award: up to 3 marks for AO1 Knowledge and understanding, up to 3 marks for AO2 Analysis, and up to 2 marks for AO3 Evaluation.
AO1 Knowledge and understanding (max 3 marks)
A knowledge and understanding of the determinants of supply for an agricultural product, such as rice (there should be at least two determinants):
• physical factors, e.g. climate and soil
• institutional factors, e.g. land tenure and land reforms
• infrastructural factors, e.g. irrigation and storage facilities
• the price of rice and the prices of other agricultural products.
AO2 Analysis (max 3 marks)
An analysis of the importance of these determinants of supply for an agricultural product, such as rice. For example, if rice is relatively easy to store, the supply will be more elastic.
AO3 Evaluation (max 2 marks)
Offers a valid judgement on which of these determinants of supply for an agricultural product, such as rice, is likely to be of the greatest significance at the present time (1) to reach a conclusion. (1)
AO1 Knowledge and understanding: 3
AO2 Analysis: 3
AO3 Evaluation: 2</t>
  </si>
  <si>
    <t xml:space="preserve">In this part of the question, candidates were required to explain the determinants of supply for an agricultural product, such as rice. This was a broad question and candidates had a variety of determinants that they could explain, including physical factors, such as weather/climate and soil, institutional factors, such as land tenure and land reform, infrastructural factors, such as irrigation and storage facilities, and the price of rice and other agricultural products. Many candidates then went on to evaluate which of these determinants was likely to be of the greatest significance at the present time, with the majority of them focusing on the impact of weather conditions and climate change.</t>
  </si>
  <si>
    <t xml:space="preserve">9708_w24_21_Q2b</t>
  </si>
  <si>
    <t xml:space="preserve">PES, agricultural products, manufactured products, spare capacity</t>
  </si>
  <si>
    <t xml:space="preserve">Assess whether the supply of agricultural products is likely to be more price elastic or less price elastic than the supply of manufactured products.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</si>
  <si>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A knowledge and understanding and analysis of possible factors affecting the PES of agricultural products and manufactured products, including:
• the number of producers
• the existence of spare capacity
• the ease of storing stocks
• the time period
• the extent of factor mobility
• the length of the production process.
Answers should analyse how PES is affected by each of these, with a clear distinction between the two types of products.
Level 1 responses will be assertive and lacking in explanations/mainly descriptive and/or mainly lacking in relevance to the question.
Level 2 responses may contain some inaccuracies and will be one-sided. Analysis will be explained at least in part and will be largely relevant to the question.
Level 3 responses will consider alternative policies/concepts etc. and will be balanced. Explanations of points raised will be offered and will be accurate and relevant to the question.
AO3 Evaluation
• Evaluation of whether the supply of agricultural products is likely to be more price elastic or less price elastic than the supply of manufactured products.
• In conclusion, PES for agricultural products is likely to be less elastic than the PES for manufactured products.
Accept all valid responses.
A one-sided response cannot gain any marks for evaluation.
AO1 Knowledge and understanding and AO2 Analysis: 8
AO3 Evaluation: 4</t>
  </si>
  <si>
    <t xml:space="preserve">9708_m22_22_Q3a (56%)</t>
  </si>
  <si>
    <t xml:space="preserve">In the second part of the question, candidates were required to assess whether the supply of agricultural products was likely to be more or less price elastic than the supply of manufactured products. The majority of candidates were able to analyse what factors would affect the PES of different products, including the number of producers, the existence of spare capacity, the ease of storing stocks, the time period, the extent of factor mobility and the length of the production process. Most candidates argued that PES was likely to be more inelastic for agricultural products, although a few believed that it would be more elastic for agricultural products than for manufactured products. The focus of the question was clearly on supply, but a number of candidates spent more time writing about demand than supply. Unfortunately, the quality of the evaluation was rather limited; it needs to be remembered that although eight marks are allocated to ‘knowledge and understanding’ (AO1) and ‘analysis’ (AO2) in the part (b) questions, four marks are allocated to ‘evaluation’ (AO3).</t>
  </si>
  <si>
    <t xml:space="preserve">9708_w24_21_Q3a</t>
  </si>
  <si>
    <t xml:space="preserve">PPC, unemployed resources, inefficiency</t>
  </si>
  <si>
    <t xml:space="preserve">With the help of a diagram, explain the significance of a position within a market economy’s production possibility curve (PPC) and consider whether such a position is likely to be permanent.</t>
  </si>
  <si>
    <t xml:space="preserve">Follow the point-based marking guidance at the top of this mark scheme and award: up to 3 marks for AO1 Knowledge and understanding, up to 3 marks for AO2 Analysis, and up to 2 marks for AO3 Evaluation.
AO1 Knowledge and understanding (max 3 marks)
A diagram of a PPC:
• the axes of the PPC are appropriately labelled, such as manufactured/agricultural goods or consumer/capital goods or Good A/Good B (1)
• the PPC will need to touch both axes (1)
• a position within a PPC is clearly shown. (1)
AO2 Analysis (max 3 marks)
An analysis of the significance of a position within/inside a PPC:
• a position where an economy is using its resources inefficiently
• where not all available resources are being utilised
• where the output of both products is lower than it would be if all available resources were being used
• there should be some reference to permanency.
AO3 Evaluation (max 2 marks)
Offers a valid judgement on whether such a position is likely to be permanent (1) to reach a conclusion. (1)
AO1 Knowledge and understanding: 3
AO2 Analysis: 3
AO3 Evaluation: 2</t>
  </si>
  <si>
    <t xml:space="preserve">9708_s23_21_Q2a (68%)</t>
  </si>
  <si>
    <t xml:space="preserve">In this part of the question, candidates were required to explain, with the help of a diagram, the significance of a position with a market economy’s production possibility curve (PPC) and to consider whether such a position was likely to be permanent. There were three marks available for the diagram and many candidates gained all three of these marks. However, this was not always the case. Some candidates labelled the axes ‘price’ and ‘quantity’ instead of ‘manufactured goods’ and ‘agricultural goods’ or ‘consumer goods’ and ‘capital goods’. Some labelled the axes ‘A’ and ‘B’, but this is not detailed enough; they need to be labelled ‘Good A’ and ‘Good B’. In some diagrams, the PPC did not touch the axes. Also, a number of candidates showed a position on the PPC, or outside the PPC, but not within/inside the PPC. Most candidates were able to analyse why there could be a position within a PPC, such as in relation to an inefficient use of resources, but not all candidates attempted to consider whether such a position was likely to be permanent. This shows the importance of candidates reading the whole of a question as carefully as possible.</t>
  </si>
  <si>
    <t xml:space="preserve">9708_w24_21_Q3b</t>
  </si>
  <si>
    <t xml:space="preserve">;1.4;3.1;3.2;</t>
  </si>
  <si>
    <t xml:space="preserve">mixed economy, market mechanism, government intervention, consumers</t>
  </si>
  <si>
    <t xml:space="preserve">Assess whether consumers always benefit when the government of a mixed economy reduces the role of the market mechanism in allocating resources.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</si>
  <si>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The advantages of the market mechanism in a mixed economy might include:
• Decisions are made by individual consumers and individual producers who act in their own self-interest.
• Resources are allocated by a price mechanism without the need for very much government intervention.
The disadvantages of the market mechanism in a mixed economy might include:
• Some products will be underprovided and underconsumed, e.g. a merit good such as education, while some products will be overprovided and overconsumed, e.g. a demerit good such as tobacco.
• Some products will not be provided, e.g. a public good such as police.
The advantages of government intervention in a mixed economy might include:
• Government intervention in the allocation of resources means it can take decisions in the national interest.
• The government could create a more equitable distribution of income.
The disadvantages of government intervention in a mixed economy might include:
• Government control could lead to an inefficient allocation of resources.
• Lack of competition/profit motive could lead to products of lower quality.
Level 1 responses will be assertive and lacking in explanations/mainly descriptive and/or mainly lacking in relevance to the question.
Level 2 responses may contain some inaccuracies and will be one-sided. Analysis will be explained at least in part and will be largely relevant to the question.
Level 3 responses will consider alternative policies/concepts etc. and will be balanced. Explanations of points raised will be offered and will be accurate and relevant to the question.
AO3 Evaluation
• Evaluation of relative balance of advantages and disadvantages of each.
• In conclusion, consideration of whether consumers will always benefit when the government of a mixed economy reduces the role of the market mechanism in allocating resources.
Accept all valid responses.
A one-sided response cannot gain any marks for evaluation.
AO1 Knowledge and understanding and AO2 Analysis: 8
AO3 Evaluation: 4</t>
  </si>
  <si>
    <t xml:space="preserve">In the second part of the question, candidates were required to assess whether consumers always benefitted when the government of a mixed economy reduced the role of the market mechanism in allocating resources. There were some good answers to this question, with candidates analysing the potential benefits of a greater role for the state, such as in relation to the greater provision of merit goods, such as education or health care. Some candidates misread the question and thought that it was asking them to assess the potential benefits of an increased role for the market mechanism. Another error was that some candidates focused on producers despite the fact that the question explicitly referred to consumers. Little evaluation was provided by the majority of candidates in terms of offering a comparison of the potential benefits and disadvantages of such a change, such as reduced consumer choice, despite the fact that four of the twelve marks available were for evaluation.</t>
  </si>
  <si>
    <t xml:space="preserve">9708_w24_21_Q4a</t>
  </si>
  <si>
    <t xml:space="preserve">4.4.4, 4.4.5</t>
  </si>
  <si>
    <t xml:space="preserve">causes of growth, consequences of growth</t>
  </si>
  <si>
    <t xml:space="preserve">Explain two possible causes of economic growth and consider whether the consequences of economic growth for an economy will always be positive.</t>
  </si>
  <si>
    <t xml:space="preserve">Follow the point-based marking guidance at the top of this mark scheme and award: up to 3 marks for AO1 Knowledge and understanding, up to 3 marks for AO2 Analysis, and up to 2 marks for AO3 Evaluation.
AO1 Knowledge and understanding (max 3 marks)
A knowledge and understanding of what is meant by economic growth (1) and two possible causes of economic growth, such as:
• an increase in the number of workers
• an improvement in the quality of workers, e.g. in terms an increase in education and/or training
• a greater commitment to research and development
• an improvement in the state of technology
• investment in capital stock
• increased mobility/flexibility of factors of production
• development of new export markets. (Up to 2 marks)
AO2 Analysis (max 3 marks)
An analysis of the possible consequences of economic growth for an economy, both positive and negative, such as:
• leads to an increase in the standard of living
• could lead to a decrease in unemployment
• may lead to a depletion of resources and to environmental damage
• there could be a reduction in the quality of life, e.g. less leisure time.
AO3 Evaluation (max 2 marks)
Offers a valid judgement on whether the consequences of economic growth for an economy will always be positive (1) to reach a conclusion. (1)
AO1 Knowledge and understanding: 3
AO2 Analysis: 3
AO3 Evaluation: 2</t>
  </si>
  <si>
    <t xml:space="preserve">9708_m23_22_Q4b (72%), 9708_w23_21_Q1e (55%), 9708_s25_23_Q4a (56%)</t>
  </si>
  <si>
    <t xml:space="preserve">In this part of the question, candidates were required to explain two possible causes of economic growth and consider whether the consequences of economic growth for an economy would always be positive. The majority of candidates were able to explain what was meant by economic growth and to analyse two possible causes of economic growth. These included an increase in the number of workers, an improvement in the quality of workers, such as in relation to the impact of education and/or training, a greater commitment to research and development, an improvement in the state/application of technology, an increased investment in capital stock, an increased mobility/flexibility of factors of production and the development of new export markets. A number of candidates used a diagram to good effect, even though this was not specifically asked for in the question. Most candidates then went on to consider the possible positive consequences of economic growth, such as a decrease in the rate of unemployment and an increase in the standard of living, but less consideration was given to the possible negative consequences, such as the depletion of resources and damage to the environment.</t>
  </si>
  <si>
    <t xml:space="preserve">9708_w24_21_Q4b</t>
  </si>
  <si>
    <t xml:space="preserve">expansionary fiscal policy, contractionary fiscal policy, inflation, national debt</t>
  </si>
  <si>
    <t xml:space="preserve">Assess whether a government should always aim for an expansionary fiscal policy rather than a contractionary fiscal policy.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</si>
  <si>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Explanation of when an expansionary fiscal policy would be appropriate, and how such a policy would work, such as:
• to increase aggregate demand (AD)
• to increase economic growth
• to increase employment
• to increase inflation
• to encourage exports and imports.
Explanation of when a contractionary fiscal policy would be appropriate, and how such a policy would work, such as:
• to reduce aggregate demand (AD)
• to reduce economic growth
• to reduce employment
• to reduce inflation
• to discourage exports and imports.
Level 1 responses will be assertive and lacking in explanations/mainly descriptive and/or mainly lacking in relevance to the question.
Level 2 responses may contain some inaccuracies and will be one-sided. Analysis will be explained at least in part and will be largely relevant to the question.
Level 3 responses will consider alternative policies/concepts etc. and will be balanced. Explanations of points raised will be offered and will be accurate and relevant to the question.
AO3 Evaluation
• Consideration of when a government should aim for an expansionary policy and when a government should aim for a contractionary one.
• In conclusion, which approach will be better for particular economic situations.
Accept all valid responses.
A one-sided response cannot gain any marks for evaluation.
AO1 Knowledge and understanding and AO2 Analysis: 8
AO3 Evaluation: 4</t>
  </si>
  <si>
    <t xml:space="preserve">9708_w23_21_Q4b (59%), 9708_s25_21_Q5b (56%)</t>
  </si>
  <si>
    <t xml:space="preserve">In the second part of the question, candidates were required to assess whether a government should always aim for an expansionary fiscal policy rather than a contractionary fiscal policy. Most candidates were able to analyse the potential benefits of each policy. Expansionary fiscal policy would be more appropriate if the aim was to increase aggregate demand, economic growth or employment, whereas contractionary fiscal policy would be more appropriate if the aim was to reduce aggregate demand and inflation. Relatively few candidates made an attempt to offer any evaluation, despite the fact that although eight marks are allocated to ‘knowledge and understanding’ (AO1) and ‘analysis’ (AO2) in the part (b) questions, four marks are allocated to ‘evaluation’ (AO3).</t>
  </si>
  <si>
    <t xml:space="preserve">9708_w24_21_Q5a</t>
  </si>
  <si>
    <t xml:space="preserve">free trade, specialisation, disadvantages of free trade</t>
  </si>
  <si>
    <t xml:space="preserve">Explain the potential advantages of free trade and consider whether such advantages are always greater than the potential disadvantages of free trade.</t>
  </si>
  <si>
    <t xml:space="preserve">Follow the point-based marking guidance at the top of this mark scheme and award: up to 3 marks for AO1 Knowledge and understanding, up to 3 marks for AO2 Analysis, and up to 2 marks for AO3 Evaluation.
AO1 Knowledge and understanding (max 3 marks)
A knowledge and understanding of at least two potential advantages of free trade, such as:
• an increase in world output
• a wider range of products for consumers to choose from
• an improved standard of living.
AO2 Analysis (max 3 marks)
An explanation of at least two potential disadvantages of free trade and how these contrast with the potential advantages of free trade, such as:
• free trade involves specialisation which could mean that some economic sectors are allowed to run down, leading to higher unemployment
• overreliance on some commodities could be risky
• potential security risk if vital resources are imported.
AO3 Evaluation (max 2 marks)
Offers a valid judgement on whether the potential advantages of free trade are always greater than the potential disadvantages of free trade (1) to reach a conclusion. (1)
AO1 Knowledge and understanding: 3
AO2 Analysis: 3
AO3 Evaluation: 2</t>
  </si>
  <si>
    <t xml:space="preserve">9708_s26_24_Q5a (64%)</t>
  </si>
  <si>
    <t xml:space="preserve">In this part of the question, candidates were required to explain the potential advantages of free trade and consider whether such advantages were always greater than the potential disadvantages. There were some good answers to this question, with candidates analysing both the potential advantages, such as an increase in world output, a wider range of products for consumers to choose from and an improved standard of living, and the potential disadvantages, such as an increase in unemployment in certain sectors of an economy and a potential security risk if vital resources were imported. Relatively few candidates were able to offer any meaningful evaluation in relation to whether the potential advantages would always be greater than the potential disadvantages.</t>
  </si>
  <si>
    <t xml:space="preserve">9708_w24_21_Q5b</t>
  </si>
  <si>
    <t xml:space="preserve">current account surplus, exchange rate, inflation</t>
  </si>
  <si>
    <t xml:space="preserve">Assess whether an economy will always benefit from having a surplus on the current account of its balance of payments.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</si>
  <si>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Potential benefits:
• A country will have surplus foreign exchange which it could use to invest in other countries.
• A high level of exports could lead to an increase in jobs in the export sector.
• Lower spending on imports may mean that people are buying more domestic goods which could also increase employment.
• It could stimulate economic growth.
Potential disadvantages:
• A current account surplus could be a sign of weak domestic demand with lower consumer spending and this could reduce domestic employment.
• It could lead to lower economic growth.
• The surplus could have been caused by a recession in the economy.
• It can contribute to lower output and employment in those countries with a current account deficit.
Level 1 responses will be assertive and lacking in explanations/mainly descriptive and/or mainly lacking in relevance to the question.
Level 2 responses may contain some inaccuracies and will be one-sided. Analysis will be explained at least in part and will be largely relevant to the question.
Level 3 responses will consider alternative policies/concepts etc. and will be balanced. Explanations of points raised will be offered and will be accurate and relevant to the question.
AO3 Evaluation
• Considers the potential benefits and disadvantages of the surplus.
• Considers the size of the surplus and the possible reasons for it.
• In conclusion, will an economy always benefit from having a surplus?
Accept all valid responses.
A one-sided response cannot gain any marks for evaluation.
AO1 Knowledge and understanding and AO2 Analysis: 8
AO3 Evaluation: 4</t>
  </si>
  <si>
    <t xml:space="preserve">9708_s22_23_Q4a (62%), 9708_s26_24_Q5b (58%)</t>
  </si>
  <si>
    <t xml:space="preserve">In the second part of the question, candidates were required to assess whether an economy would always benefit from having a surplus on the current account of its balance of payments. There was some good analysis of the potential benefits of such a surplus, such as in relation to a stimulus to economic growth, but the assessment of the potential disadvantages, such as the fact that it could be an indication of weak domestic demand, was rather limited. Some candidates confused a surplus on the current account with a budget surplus. Relatively few candidates offered an evaluation in terms of whether an economy would always benefit from having a surplus on the current account of its balance of payments.</t>
  </si>
  <si>
    <t xml:space="preserve">9708_w24_22_Q1a</t>
  </si>
  <si>
    <t xml:space="preserve">6.3.1</t>
  </si>
  <si>
    <t xml:space="preserve">current account components, primary income, trade in services</t>
  </si>
  <si>
    <t xml:space="preserve">Chile – growth, copper and inequality</t>
  </si>
  <si>
    <t xml:space="preserve">Identify two possible reasons why the current account on the balance of payments in Chile is in deficit in the first quarter of 2022 despite the surplus on the balance of trade in goods.</t>
  </si>
  <si>
    <t xml:space="preserve">The data also states the secondary account is in surplus so the primary account (1) and /or the balance of services (1) must show a deficit.
Guidance: Please also accept valid references to any of the components of the primary account i.e., net income from investments made abroad, earnings made by residents working abroad being in deficit. (1 max if no additional reference to services)
Do not accept references to components of the secondary account e.g., transfers, government aid.
Alternative approach: Many candidates have answered why the current account deficit has grown rather than why it is in deficit in the first quarter of 2022. This is by reference to the final paragraph on page 2 of the data e.g., the fall in revenue from copper exports, the increase in the value of imported consumer goods and the impact of the pandemic.
For any accurate reference to one / all of these factors (1) plus (1) only if an accurate reference is also made to the deficit in the primary account OR the balance of services.</t>
  </si>
  <si>
    <t xml:space="preserve">This question was asking candidates to understand that the current account consists of a number of components. The information offered in the question was that the balance of trade in goods (and in the data that the secondary account) were both in surplus Consequently, it was hoped that candidates would recognise that, given both these accounts were in surplus, the reason the current account was in deficit was that the net impact of the primary account and the balance of trade in services must be of a greater deficit. However, most candidates adopted an alternative approach and offered an explanation why the current account deficit has grown (which was not the question), rather than why it is in deficit in the first quarter of 2022. This was by reference to the final paragraph on page 2 of the data e.g., the fall in revenue from copper exports, the increase in the value of imported consumer goods and the impact of the pandemic. A pragmatic decision was made to accept this alternative approach and as shown in the final mark scheme both marks could still be gained when taking this alternative approach provided some recognition was also made of the significance of the primary and/or the services account.</t>
  </si>
  <si>
    <t xml:space="preserve">9708_w24_22_Q1b</t>
  </si>
  <si>
    <t xml:space="preserve">import reduction, tariffs, current account policy</t>
  </si>
  <si>
    <t xml:space="preserve">Consider the likely success of one policy that Chile could use to reduce the imports of consumer goods.</t>
  </si>
  <si>
    <t xml:space="preserve">Allow any valid policy that may reduce the expenditure on imports.
Identification of policy (1), an explanation of how it may reduce the expenditure on imports. (up to 2 marks).
• For example, identification of a tariff (1). This will increase the price of imports (1) which may have the effect of reducing the demand/level of imports (1).
• For example, identification of a quota (1). This will limit the number of goods that can be imported (1) which will of reduce the demand/level of imports (1).
• Evaluation of the likely success of the chosen policy in switching expenditure from imports/reducing the imports of consumer goods (1).
• For example, if the PED for imports is inelastic, a tariff may make little difference in reducing imports (1).
Guidance: Examples of policies may include any example of protectionism, other policies to boost the price competitiveness and /or availability of domestic consumer goods e.g., supply side policies.</t>
  </si>
  <si>
    <t xml:space="preserve">Many candidates successfully identified a relevant policy and were able to explain how this might reduce the imports of consumer goods to gain 2 or 3 marks. However, few candidates offered a judgement as to the potential success of the selected policy. Many attempted a general evaluation which did not focus on its possible success in reducing imports e.g., for tariffs discussing the possibility of retaliation and was not relevant to the question. Therefore, a mark of 2 or 3 was most common. Candidates must remember that the 4-mark question will always appear on the data response section of the paper, and is always seeking a final evaluation in order for full marks to be awarded.</t>
  </si>
  <si>
    <t xml:space="preserve">9708_w24_22_Q1c</t>
  </si>
  <si>
    <t xml:space="preserve">3.3.2</t>
  </si>
  <si>
    <t xml:space="preserve">Gini coefficient, income inequality</t>
  </si>
  <si>
    <t xml:space="preserve">Explain what is meant by the fall in Chile’s Gini coefficient from 52.1 to 44.4.</t>
  </si>
  <si>
    <t xml:space="preserve">1 mark for an accurate definition only e.g., the Gini coefficient measures income inequality.
2 marks for an explanation that the fall (from 52.1 to 44.1) means that income is more equally distributed.
A maximum of 2 marks overall.</t>
  </si>
  <si>
    <t xml:space="preserve">This question was successfully answered by a good number of candidates who offered a clear explanation that the fall (from 52.1 to 44.1) meant that income was more equally distributed. Consequently, they were awarded the full 2 marks. Those who misunderstood the significance of the quoted change in coefficient value, but nevertheless recognised they were dealing with a measure of income inequality, were awarded 1 mark. The main issue was that a significant number of candidates referred simply to inequality with no reference to income or referred to e.g., wealth or health inequality and this could not be rewarded.</t>
  </si>
  <si>
    <t xml:space="preserve">9708_w24_22_Q1d</t>
  </si>
  <si>
    <t xml:space="preserve">;3.3;5.2;</t>
  </si>
  <si>
    <t xml:space="preserve">3.3.4, 5.2.5</t>
  </si>
  <si>
    <t xml:space="preserve">education spending, human capital, poorer households</t>
  </si>
  <si>
    <t xml:space="preserve">Assess the extent to which ‘the government increasing its education spending’ may improve the incomes of poorer households in Chile.</t>
  </si>
  <si>
    <t xml:space="preserve">Up to 4 marks for the explanation / analysis:
For an explanation of the reasons / benefits of the government increasing education spending to improve the incomes of poorer households (Up to 3 marks). These may include:
• As the data makes clear, education is considered a merit good that is considered to be beneficial for the individual and society in e.g., raising income levels due to a better educated and skilled workforce.
• Additional spending may increase the availability of education provision and free college tuition fees may make it more affordable to poorer households.
• Increased provision may also reduce other costs of education, again making it more affordable and accessible.
• It may raise awareness of the benefits of education for poorer households.
For an explanation of why increased government spending on education may not have the desired effects (Up to 3 marks). These may include:
• There may still be a lack of awareness of the benefits of education due to information failure.
• Poorer households may have higher opportunity costs due to the need to start earning an income at an earlier age.
• Government spending may be unsustainable leading to reductions in future spending.
•
Max: 4 marks
Note: maximum of 3 marks if only one side is considered.
Up to 2 marks for evaluation (no marks if only one side is considered):
• That assesses the advantages and disadvantages of just increasing government expenditure on education to improve living standards of poorer households, this may include an assessment of the time for the policy to have the desired effect i.e., the extent (1), leading to
• A valid conclusion (1).</t>
  </si>
  <si>
    <t xml:space="preserve">As with Question 1e that follows, this question could gain a maximum of 4 marks for analysis and 2 marks for valid evaluation. In this case appropriate analysis required candidates to offer am explanation of the potential gains that increased spending on education could bring to poorer Chilean households in terms of improving their incomes. The analysis then needed to be compared to the possible downsides of such a policy in improving the incomes of poorer households. Both sides then needed to be considered to gain the full 4 marks although either argument could be more heavily weighted than the other. The final 2 evaluation marks were available to candidates who offered a balanced approach in judging the strength of the opposing arguments to reach a justified conclusion. Whilst most answers scored reasonably well on the potential benefits, many candidates then focused on the standard arguments regarding the potential drawbacks of supply side policy, i.e., the cost and the time taken. To some extent, this is to be expected of such a policy and was not very convincing unless discussed in the context of improving incomes e.g., the time taken may mean that skills taught become outdated or the cost simply is unsustainable. Consequently, many answers scored a maximum of 3 although there were many answers that did gain very good marks for this question. Nevertheless, most candidates still failed to access the final 2 evaluation marks. This was because they failed to fully address the question as to their perceived judgement of ‘the extent to which’ incomes of poorer households may or may not be improved. To gain the full 6 marks this judgement should be part of a valid conclusion drawn from their preceding analysis.</t>
  </si>
  <si>
    <t xml:space="preserve">9708_w24_22_Q1e</t>
  </si>
  <si>
    <t xml:space="preserve">;4.4;6.1;</t>
  </si>
  <si>
    <t xml:space="preserve">4.4.4, 6.1.3</t>
  </si>
  <si>
    <t xml:space="preserve">commodity prices, export revenue, terms of trade, economic growth</t>
  </si>
  <si>
    <t xml:space="preserve">Assess the likely impact of the rise in the world copper price from 2020 on the future economic growth of Chile.</t>
  </si>
  <si>
    <t xml:space="preserve">Up to 4 marks for the explanation / analysis:
Up to 3 marks for a discussion of the advantages of a rise in copper prices which include:
• Mining forms 50% of Chile’s exports and contributes towards 11% of GDP and copper is a major part of this. N.B., a simple reference to the importance of copper mining to the Chilean economy will be sufficient.
• As world demand picks up and prices rise, assuming demand for copper is relatively price inelastic, revenue from exports should rise leading to a rise in GDP.
Up to 3 marks for a discussion of the disadvantages of a rise in copper prices which include:
• Data shows revenue from copper exports had fallen in February 2022 due to higher prices suggesting PED is more elastic/more substitutes available leading to a fall in revenue and GDP if the world copper price continues to rise.
• It may encourage more competition from other copper producing countries.
• Copper is a finite resource, and extensive mining may lead to depletion in the future leading to a future fall in export revenue and GDP.
Max: 4 marks
Note: maximum of 3 marks if only one side is considered.
Up to 2 marks for evaluation (no marks if only one side is considered)
• That assesses both sides and may include the argument that the fall in revenue from copper exports would be temporary due to a downturn in demand and that this would change as the world economy starts to grow again (1), leading to
• A valid conclusion (1).</t>
  </si>
  <si>
    <t xml:space="preserve">9708_w24_23_Q1e (59%)</t>
  </si>
  <si>
    <t xml:space="preserve">This second 6-mark question was less well answered in general than the previous one. Again, this question required an explanation and analysis of two sides, both potential advantages and disadvantages for the future economic growth of Chile resulting from the rise in the world copper price. Many answers ignored either fully or in part the need to link the answer to future economic growth and subsequently scored few marks. Better answers tended to focus on PED values together with the importance of mining to the Chilean economy and the prospects for post pandemic world economic growth. Such answers if followed through to a balanced conclusion scored highly although most candidates gained low marks as their answers were one sided or insufficiently explained, Once again, evaluation of the strengths and weaknesses of opposing arguments tended to be relatively weak and gained low marks and this is a skill that needs to be developed in candidates.</t>
  </si>
  <si>
    <t xml:space="preserve">9708_w24_22_Q2a</t>
  </si>
  <si>
    <t xml:space="preserve">2.1.5, 2.1.7, 2.4.3</t>
  </si>
  <si>
    <t xml:space="preserve">movement vs shift, substitutes, complements</t>
  </si>
  <si>
    <t xml:space="preserve">With the help of a diagram(s), briefly explain how the cause of a movement along the demand curve differs from the cause of a shift in the demand curve and consider the impact on the demand for one good of price changes in other goods.</t>
  </si>
  <si>
    <t xml:space="preserve">Follow the point-based marking guidance at the top of this mark scheme and award: up to 3 marks for AO1 Knowledge and understanding, up to 3 marks for AO2 Analysis, and up to 2 marks for AO3 Evaluation.
AO1 Knowledge and Understanding (max 3 marks)
• An accurate demand (and supply) diagram/or 2 separate diagrams clearly demonstrating a movement and a shift (1). NB: it is not essential to show the supply curve or changing price and output.
• Explanation that a movement occurs due to a change in price (1) and that a shift occurs due to a change in a non-price factor (1).
AO2 Analysis (max 3 marks)
Candidates may analyse the impact on the demand for one good as a result of whether they are substitutes or complements of other goods (of any valid relationships between goods):
This will include an analysis of the impact on demand for one good because of e.g.:
• Price changes and the availability of complements (a negative value indicates a complement) e.g. a rise in the price of the complement would be expected to reduce the demand for the ‘other good’.
• Price changes and the availability of substitutes (a positive value indicates a substitute) e.g. a rise in the price of the substitute would be expected to increase the demand for the ‘other good’.
• For example, an increase in the price of a complement good is likely to reduce the demand of the good (1) due to the nature of the joint demand between both goods (1).
• For example, a rise in the price of a substitute good is likely to increase the demand for the other good (1) if the consumer now sees the other good as a direct replacement (1).
• Note: Diagrams are not essential.
Note: Maximum of 2 marks if only one relationship is analysed. References to changes in income/fashion/tastes/attitudes must not be rewarded.
AO3 Evaluation (max 2 marks)
Up to 2 marks for considering the overall impact of these two factors depending on the size and values of the XED coefficients on the demand for one product (1) leading to a valid conclusion about the overall size of the impact of changes in the price of ‘other goods (1).
AO1 Knowledge and understanding: 3
AO2 Analysis: 3
AO3 Evaluation: 2</t>
  </si>
  <si>
    <t xml:space="preserve">This was a popular question answered by many candidates. Diagrams provided were of varying degrees of accuracy and precision. In some cases, presentation was quite untidy, and although every attempt is made to mark positively, sometimes this lack of attention to detail on the candidate’s behalf can lead to a lower mark than expected. The minimum requirement was an accurate, fully labelled diagram(s) clearly distinguishing a shift from a movement accompanied by an explanation that a movement occurs due to a change in price, and that a shift occurs due to a change in a non-price factors. Candidates needed to consider the impact on the demand for one good, because of the change in price of another good. Clearly this was an opportunity for candidates to explore the potential cross price relationship between goods. Some answers to this part of the question were well crafted and quite a number scored 3 + 3 on this section. However, the main weakness here, as in most cases when answering section (a) of the essays, was the lack of judgement regarding what might be the extent of ‘the impact’ which really depended on the size of the XED coefficient.</t>
  </si>
  <si>
    <t xml:space="preserve">9708_w24_22_Q2b</t>
  </si>
  <si>
    <t xml:space="preserve">2.2.7, 2.2.8</t>
  </si>
  <si>
    <t xml:space="preserve">YED, PED, total expenditure, economic growth</t>
  </si>
  <si>
    <t xml:space="preserve">Assess whether knowledge of income elasticity of demand or price elasticity of demand for its product is more useful to a business aiming to increase the total expenditure on its product during a period of economic growth.</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</si>
  <si>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Responses should focus on how the two measures are used rather than displaying merely knowledge and must relate to a period of economic growth which may lead to rising incomes and prices.
• Advantages and disadvantages of using income elasticity of demand include the opportunity to classify products as normal or inferior goods and may influence what type of goods to produce. The measure may be less useful in terms of pricing decisions and may be based on historical data which may be inaccurate.
• Advantages and disadvantages of using price elasticity of demand include the opportunity to measure the impact of price changes but again suffer from the use of historical data which may be inappropriate in a time of economic growth and rising incomes which could affect PED values.
Accept any valid analysis that relates to the use of these measures during a period of economic growth and their impact on the aim of increasing sales revenue.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 Requires an assessment of the use of both measures in comparison with each other in terms of their usefulness to a business aiming to increase sales revenue in a period of economic growth. Leading to
• A justified conclusion as to which is the most useful method.
A one-sided response cannot gain any marks for evaluation.
AO1 Knowledge and understanding and AO2 Analysis: 8
AO3 Evaluation: 4</t>
  </si>
  <si>
    <t xml:space="preserve">9708_s26_24_Q2b (56%)</t>
  </si>
  <si>
    <t xml:space="preserve">As in previous series, answers to this type of question were in many cases seen as an opportunity to present to Examiners a display of all the candidates knew about income and price elasticity of demand, rather than addressing the question. There was a considerable lack of focus on the ‘period of economic growth’ flagged up in the question and consequently, many long answers proved unable to gain a score beyond Level 1, if any merit at all when answers were inaccurate Where attempts were made to analyse the usefulness to a business in a period of economic growth, YED was the elasticity most commonly analysed whereas PED was generally only referred to in terms of increasing or decreasing prices with no reference to economic growth. As with section (a), many candidates failed to offer an assessment beyond extremely simplistic assertions regarding the degree to which either elasticity measure may be of use to businesses aiming to raise revenue in a period of economic growth. Consequently, zero was the more common score when it came to offering marks for evaluation.</t>
  </si>
  <si>
    <t xml:space="preserve">9708_w24_22_Q3a</t>
  </si>
  <si>
    <t xml:space="preserve">;1.5;1.1;4.4;</t>
  </si>
  <si>
    <t xml:space="preserve">1.5.2, 1.1.3, 4.4.4</t>
  </si>
  <si>
    <t xml:space="preserve">constant opportunity cost, increasing opportunity cost, capital goods, future growth</t>
  </si>
  <si>
    <t xml:space="preserve">With the help of a production possibility curve (PPC) diagram(s), explain the difference between constant and increasing opportunity costs and consider how choices in deciding which type of goods to produce in the short run may influence future economic growth.</t>
  </si>
  <si>
    <t xml:space="preserve">Follow the point-based marking guidance at the top of this mark scheme and award: up to 3 marks for AO1 Knowledge and understanding, up to 3 marks for AO2 Analysis, and up to 2 marks for AO3 Evaluation.
AO1 Knowledge and Understanding (max 3 marks)
• Accurately drawn and labelled production possibility diagram – curved to show (and be identified as) increasing opportunity cost (1) and – straight line to show (and be identified as) constant opportunity cost (1). N.B., axes must be labelled as products and not simply A and B or X and Y and the curves must touch both axes.
• Explanation for the difference between constant and increasing opportunity cost. For example, constant opportunity cost demonstrates no change in the rate of trade off whereas increasing opportunity costs demonstrate an increase rate in the trade off between the two products (1).
AO2 Analysis (max 3 marks)
For example, future economic growth will be influenced by the choices an economy makes about the split between consumer spending and capital spending (1). If a country decides to focus its spending and output on consumer goods, then this may create growth in the short run but may not be sustainable (1). A decision to focus on spending and output of capital goods, this may have a short run negative impact on economic growth but should create more long-term sustainable growth as output may expand (1).
AO3 Evaluation (max 2 marks)
Up to 2 marks for valid evaluation which is clearly based on the analysis (1) leading to a valid conclusion (1).
AO1 Knowledge and understanding: 3
AO2 Analysis: 3
AO3 Evaluation: 2</t>
  </si>
  <si>
    <t xml:space="preserve">Diagrammatic presentation was at best variable. Candidates were expected to present accurately drawn and labelled production possibility diagrams, together with an explanation of the difference. In some cases, even when diagrams were correctly presented, candidates failed to fully explain the difference between constant and increasing opportunity cost. The analysis was expected to consider how choices of what goods to produce in the short run might influence future economic growth Most candidates recognised the main choice being between the production of capital and consumer goods and the possible trade-offs between growth in the short run and more sustainable long run growth, However, the quality and depth of analysis was often inconsistent and not clearly applied. Better candidates did clearly identify and explain the choices and their impact and were able to offer valid evaluation. However, most candidates were unable to clearly analyse these choices and so were unable to consider the judgement that needed to be made regarding the influence on ‘future economic growth’.</t>
  </si>
  <si>
    <t xml:space="preserve">9708_w24_22_Q3b</t>
  </si>
  <si>
    <t xml:space="preserve">;1.4;1.1;</t>
  </si>
  <si>
    <t xml:space="preserve">1.4.1, 1.4.2, 1.1.4</t>
  </si>
  <si>
    <t xml:space="preserve">market economy, basic economic questions, economic systems</t>
  </si>
  <si>
    <t xml:space="preserve">Assess whether a market economy is always the best economic system to effectively answer the three basic questions of resource allocation.</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</si>
  <si>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The advantages and disadvantages of the market system in deciding what to produce, how to produce and for whom to produce should focus on the price mechanism without any government involvement.
• May include discussion of the profit motive, consumer sovereignty, consumer choice, overproduction of demerit goods, underproduction of merit goods, lack of public goods etc.
• A comparison with another market system e.g., planned economy or mixed economy is needed to answer the question ‘always the best’.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 Requires an assessment of the strengths and weaknesses of at least one other type of economic system in answering the three basic questions of resource allocation. Leading to
• A justified conclusion as to whether the market economy is always the best economic system.
A one-sided response cannot gain any marks for evaluation.
AO1 Knowledge and understanding and AO2 Analysis: 8
AO3 Evaluation: 4</t>
  </si>
  <si>
    <t xml:space="preserve">In general, answers to this question tended to be more focused on the question set rather than the usual display of knowledge alone. Consequently, more candidates gained Level 2 or 3 marks than for Question 2b. Better candidates offered some explanation of the advantages and disadvantages of the market system in deciding what to produce, how to produce and for whom to produce without any government involvement. Then they offered a comparison with another market system. Weaker answers did not focus the response on the three basic questions and/or lacked a detailed explanation of the advantages and disadvantages of an alternative market structure, This often meant that marks for evaluation were once again low, if awarded at all, with very few reaching a Level 2 score for judgement as to whether the market is always the best system.</t>
  </si>
  <si>
    <t xml:space="preserve">9708_w24_22_Q4a</t>
  </si>
  <si>
    <t xml:space="preserve">measuring unemployment, claimant count, labour force survey</t>
  </si>
  <si>
    <t xml:space="preserve">Explain two methods of measuring unemployment and consider the extent of the possible difficulties in obtaining an accurate measurement of unemployment.</t>
  </si>
  <si>
    <t xml:space="preserve">Follow the point-based marking guidance at the top of this mark scheme and award: up to 3 marks for AO1 Knowledge and understanding, up to 3 marks for AO2 Analysis, and up to 2 marks for AO3 Evaluation.
AO1 Knowledge and Understanding (max 3 marks)
The question refers to methods of measurement and not types of unemployment. Answers focused on types and not measures cannot answer the question without any reference to methods of measurement and must not be rewarded.
For the identification of 2 methods of measuring unemployment (1) plus for a brief explanation of both measures 2x(1).
Guidance for explanation marks: The two most used measures are the claimant count measure which is a measure based on those claiming benefits (1) and the labour force measure which is a measure of unemployment based on a survey that identifies people who are actively seeking a job (1). However, if the meaning of these measures is clearly understood then they do not need to explicitly refer to the terms.
AO2 Analysis (max 3 marks)
• The difficulties in obtaining an accurate measurement using both methods should be considered. e.g., the claimant count figure may omit people actively looking for a job and may include people who are, in reality, not looking for a job.
• Whereas the labour force measure is based on sampling which may not be entirely accurate due to sampling errors and/or problems associated with data collection in general.
Note: maximum of 2 marks if the difficulties of only one method of measurement are analysed.
AO3 Evaluation (max 2 marks)
An assessment of the difficulties of both measures is required with an overall assessment of the extent of the possible difficulties (1), leading to a valid conclusion (1).
AO1 Knowledge and understanding: 3
AO2 Analysis: 3
AO3 Evaluation: 2</t>
  </si>
  <si>
    <t xml:space="preserve">9708_s23_21_Q1c (57%)</t>
  </si>
  <si>
    <t xml:space="preserve">This was the most popular of the two macroeconomic questions. The most common error made by some candidates was to focus on types of unemployment rather than considering methods of measurement. Nevertheless, many did identify the Claimant count and the LFS as common measures used although some of the descriptions and explanations were extremely vague. Also some candidates suggested simply adding up the total number of unemployed as a percentage of the total workforce without any explanation as to how each could be measured. Better candidates were able to offer valid explanations as to why measurement may prove to be difficult although in some cases the explanations continued to be vague. A good number of candidates were able to achieve scores of 5 or 6 for this part of the question. Unfortunately, the majority failed to offer an overall assessment of the extent of the possible difficulties which is a prevailing problem i.e., the inability or unwillingness to make valid judgements of the question the candidate is being asked to assess or consider.</t>
  </si>
  <si>
    <t xml:space="preserve">9708_w24_22_Q4b</t>
  </si>
  <si>
    <t xml:space="preserve">;5.4;4.5;</t>
  </si>
  <si>
    <t xml:space="preserve">5.4.4, 4.5.3</t>
  </si>
  <si>
    <t xml:space="preserve">supply-side policy, structural unemployment, cyclical unemployment</t>
  </si>
  <si>
    <t xml:space="preserve">Assess whether supply-side policy is likely to be equally successful in reducing both structural and cyclical unemployment.</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</si>
  <si>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The discussion should focus on the strengths and weaknesses of supply side policy to solve both cyclical/demand-deficient and structural unemployment.
• For example, supply side policies may be used to encourage investment into education and training and infrastructure to solve structural problems in the economy and hence structural unemployment.
• However, supply side policies may be less successful in solving cyclical/demand deficient unemployment as they have less impact on the level of aggregate demand (AD) – unless for example, if they involve a direct injection of government spending due to the additional investment.
• Other disadvantages include the potential cost of the policy and the time taken for the policy to be effective.
• Although not necessary, other demand side policies, e.g., fiscal and monetary policies, may be analysed to explain the possible disadvantages of supply side policy. This is an acceptable approach.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may consider alternative policies / concepts etc. and will be balanced. Explanations of points raised will be offered and will be accurate and relevant to the question.
AO3 Evaluation
• Requires an assessment of the advantages and disadvantages of supply side policies in solving both types of unemployment. Leading to
• An overall conclusion as to whether supply side policy is always (more) likely to be equally (more) successful in solving both types of unemployment.
A one-sided response cannot gain any marks for evaluation.
AO1 Knowledge and understanding and AO2 Analysis: 8
AO3 Evaluation: 4</t>
  </si>
  <si>
    <t xml:space="preserve">9708_w23_23_Q4b (65%)</t>
  </si>
  <si>
    <t xml:space="preserve">The discussion for this question should have focused on the strengths and weaknesses of supply side policy in solving both cyclical and structural unemployment. Other policies were not required unless they were introduced to highlight the strengths and weaknesses of supply side policy. Surprisingly, a significant number of candidates were unable to distinguish between the two types of unemployment and frequently described cyclical unemployment as seasonal or linked to a particular sector. In addition, there was also confusion in some cases as to the difference between supply side and demand side policies. Consequently, the use of supply side policy to solve both types of unemployment was often flawed and often one sided in nature e.g., a common assertion was that supply side policy cannot solve structural unemployment. There were however some excellent answers that focused on the question but without sufficient underpinning accurate knowledge and understanding, such answers were in the minority, The usual barrier then often arose, in a failure by many to offer an assessment of the degree to which supply side policies could solve both types of unemployment, and an absence of an overall conclusion as to whether supply side policy is always more likely to be equally successful in solving both types of unemployment.</t>
  </si>
  <si>
    <t xml:space="preserve">9708_w24_22_Q5a</t>
  </si>
  <si>
    <t xml:space="preserve">marginal rate of tax, average rate of tax, indirect tax, tax revenue</t>
  </si>
  <si>
    <t xml:space="preserve">With the help of examples, explain the difference between the marginal rate of taxation and the average rate of taxation and consider whether a government should decide to increase the rate of indirect tax to raise additional revenue.</t>
  </si>
  <si>
    <t xml:space="preserve">Follow the point-based marking guidance at the top of this mark scheme and award: up to 3 marks for AO1 Knowledge and understanding, up to 3 marks for AO2 Analysis, and up to 2 marks for AO3 Evaluation.
AO1 Knowledge and Understanding (max 3 marks)
• Accurate knowledge and understanding of marginal rate of tax (MRT). That is an understanding that it is the proportion of extra income taken in tax (1).
• Accurate knowledge and understanding of average rate of tax (ART) i.e., an understanding that it is the proportion of the whole of income that is taxed (1).
• An accurate example (which may be numerical/graphical) of each type of tax. MRT – a person earns an extra £100 and £40 is taken as tax then the marginal rate is 40%. ART – an individual with total earnings of £10 000, total tax paid £3000 the average rate is 30% (1).
AO2 Analysis (max 3 marks)
Discussion is likely to focus on whether the gains in revenue exceed the disadvantages of the indirect taxes:
• easier and quicker to put in place than direct taxes
• they may be less easy to avoid than direct taxes
• however, they are often seen as regressive and can lead to a higher MRT for poorer households
• their effectiveness in raising revenue depends on PED
• they may also lead to cost push inflation
Note: if only the advantages or disadvantages are considered, maximum mark of 2
AO3 Evaluation (max 2 marks)
An assessment of the strengths and weaknesses of using indirect taxes to raise additional government revenue (1), leading to a valid conclusion (1).
AO1 Knowledge and understanding: 3
AO2 Analysis: 3
AO3 Evaluation: 2</t>
  </si>
  <si>
    <t xml:space="preserve">The difference between marginal rate of taxation and average rate of taxation has rarely, if ever, been examined and unsurprisingly, was the least popular macroeconomic question. This emphasises the need to prepare candidates for the full range of the syllabus. There was, however, a full range of marks even though a significant number of candidates found it difficult to clearly and accurately explain the difference and provide examples. Better answers offered concise examples that did accurately explain the difference between them. Analysis in general, appeared better regarding government decisions to raise indirect tax to increase revenue, with reasonable discussions focused on whether the gains in revenue exceed the disadvantages of the indirect taxes. However, once again most did not offer a judgement as to whether the government should use this tactic to raise additional revenue by weighing up the advantages and disadvantages and this led to few marks for evaluation. Once again, this is lowering the overall marks gained.</t>
  </si>
  <si>
    <t xml:space="preserve">9708_w24_22_Q5b</t>
  </si>
  <si>
    <t xml:space="preserve">;5.2;5.1;</t>
  </si>
  <si>
    <t xml:space="preserve">5.2.2, 5.2.3, 5.1.1</t>
  </si>
  <si>
    <t xml:space="preserve">balanced budget, budget deficit, macroeconomic objectives</t>
  </si>
  <si>
    <t xml:space="preserve">Assess whether the achievement of a balanced budget should always be a main government macroeconomic objective.</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</si>
  <si>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This question is asking whether a balanced budget should always be a main objective rather than the main objective and consequently an analysis of the importance of other government macroeconomic objectives is not essential.
• An analysis which directly compares the strengths and weaknesses and uses of a balanced budget with a budget in surplus and deficit may gain access to Level 3 and full marks.
• The strengths of a balanced budget may include stability and may encourage both domestic and inward investment, but it may not be sufficiently flexible to deal with changing economic conditions e.g., unemployment and inflation.
• A budget deficit may enable, e.g., economic growth or reduce unemployment but may be unsustainable in the long run.
• A budget surplus may be necessary to solve inflation, but this may cause opportunity costs due to a lack of government spending.
• Analysis of other government macroeconomic objectives may be rewarded but only in the context of a balanced or unbalanced budget e.g., the problems of achieving other objectives if the sole aim is a balanced budget. These may include difficulties in controlling inflation, unemployment, creating actual economic growth etc.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may consider alternative policies / concepts etc. and will be balanced. Explanations of points raised will be offered and will be accurate and relevant to the question.
AO3 Evaluation
• An overall assessment of whether the achievement of a balanced budget should always be a main government macroeconomic objective.
• If part of the analysis, this should also include an assessment of the difficulties of achieving other objectives against the desirability of a balanced budget to gain higher level evaluation marks.
• Leading to an overall and balanced conclusion.
A one-sided response cannot gain any marks for evaluation.
AO1 Knowledge and understanding and AO2 Analysis: 8
AO3 Evaluation: 4</t>
  </si>
  <si>
    <t xml:space="preserve">A significant number of candidates displayed a confusion between a balanced budget and a balance of payments equilibrium. The question asked whether a balanced budget should always be a main objective rather than the main objective and this emphasis was lost on many candidates who simply compared the importance of the different macro-objectives which was not the question. What did need to be offered was an analysis which directly compared the strengths and weaknesses and uses of a balanced budget, with a budget in surplus and deficit. Clear explanation of such was necessary to gain access to Level 3 and potentially full marks. There were some excellent answers through to sound evaluation that analysed the need for a deficit and a surplus at times to achieve other objectives e.g. economic growth and low levels of inflation which was where a reference to other objectives was perfectly valid. However, such answers were relatively rare. As with all the essay part (b) answers, mainly due to irrelevant analysis comparing the importance of different objectives and/or a lack of focus on different budget situations i.e., balanced or deficit or surplus, marks for evaluation were generally low.</t>
  </si>
  <si>
    <t xml:space="preserve">9708_w24_23_Q1a</t>
  </si>
  <si>
    <t xml:space="preserve">supply shift, weather, price increase</t>
  </si>
  <si>
    <t xml:space="preserve">Global coffee bean prices</t>
  </si>
  <si>
    <t xml:space="preserve">Use a demand and supply diagram to show why there was a ‘huge’ increase in the price of Arabica coffee beans in 2021.</t>
  </si>
  <si>
    <t xml:space="preserve">• Supply and demand diagram with correct axes and showing shift to the left of the supply curve (1).
• New equilibrium price and quantity (1).
Guidance: No explanation is required.</t>
  </si>
  <si>
    <t xml:space="preserve">This question proved accessible with most candidates able to produce a fully labelled accurate diagram showing a leftward shift in the supply of Arabica coffee beans. Nonetheless, a significant minority provided a written explanation to support their diagram. This was not a requirement of the question and candidates are strongly advised to focus on the command word – a list of all command words and how to interpret them is included in the syllabus.</t>
  </si>
  <si>
    <t xml:space="preserve">9708_w24_23_Q1b</t>
  </si>
  <si>
    <t xml:space="preserve">PES, agricultural supply, time period</t>
  </si>
  <si>
    <t xml:space="preserve">Is the price elasticity of supply of coffee beans likely to be elastic or inelastic in any one year? Justify your answer from the information provided.</t>
  </si>
  <si>
    <t xml:space="preserve">Inelastic (1) (accept perfectly inelastic)
Reference to any one of the climatic problems referred to in the text such as drought and frosts in Brazil or storms in Vietnam meaning that supply is volatile/unpredictable. The candidate may refer to the nature of agricultural goods meaning that you cannot simply grow additional output.
The explanation must refer to how it affects the responsiveness of supply (1).</t>
  </si>
  <si>
    <t xml:space="preserve">9708_s25_23_Q1b (66%)</t>
  </si>
  <si>
    <t xml:space="preserve">This question was more challenging that perhaps might have been anticipated. Whilst many candidates recognised the time lags involved between plantation of crop and increased supply of coffee beans, a significant number of candidates incorrectly wrote that the PES for coffee beans would be price elastic. Moreover, only a minority of candidates recognised that the justification required an explanation of the rate at which supply would increase in response to a rise in price – instead, many candidates simply offered a consideration of the law of supply.</t>
  </si>
  <si>
    <t xml:space="preserve">9708_w24_23_Q1c</t>
  </si>
  <si>
    <t xml:space="preserve">buffer stock, price fluctuations</t>
  </si>
  <si>
    <t xml:space="preserve">Consider whether a buffer stock scheme is likely to be successful in reducing the price fluctuations shown in Fig. 1.1.</t>
  </si>
  <si>
    <t xml:space="preserve">Buffer stocks schemes occur when governments buy and sell coffee beans to stabilise prices (1). Governments will supply surplus stocks of coffee beans in the event of a poor yield to minimise excessive price rises (1) and buy excess supplies of coffee beans when yields are sufficiently high enough to cause significant price reductions. (1)
For valid evaluation
• For example: If the coffee beans cannot be stored in a way that maintains its quality, it may not be sold at the intended market price (1).
• Other relevant factors include the government’s budget/ability to finance the scheme.</t>
  </si>
  <si>
    <t xml:space="preserve">9708_w25_22_Q1c (57%)</t>
  </si>
  <si>
    <t xml:space="preserve">Many candidates were able to provide some valid understanding of the principal of a buffer stock scheme, with the strongest responses explaining how the model would stabilize prices in times of both shortages and surpluses of coffee beans. Weaker responses simply stated the aim of the model as opposed to an explanation of how it would work. It was pleasing to see candidates recognising the need to judge the likely success of the system and referred to the importance of being able to afford to store any surplus in addition to ensure any storing of coffee beans did not reduce its quality.</t>
  </si>
  <si>
    <t xml:space="preserve">9708_w24_23_Q1d</t>
  </si>
  <si>
    <t xml:space="preserve">;2.2;2.5;2.4;</t>
  </si>
  <si>
    <t xml:space="preserve">2.2.7, 2.5.3</t>
  </si>
  <si>
    <t xml:space="preserve">PED, total revenue, producer surplus, output loss</t>
  </si>
  <si>
    <t xml:space="preserve">Assess the extent to which coffee bean producers will gain from the huge increase in coffee bean prices in 2021.</t>
  </si>
  <si>
    <t xml:space="preserve">Up to 3 marks for explanation/analysis of the gains to coffee bean producers:
• If the demand for coffee is price inelastic in demand, then coffee producers would be expected to gain (in terms of increased revenue).
• For example, increased revenue per lb. of coffee sold; increased funds available to invest and innovate in better methods of storing coffee beans in the event of future storms.
• Producers in Brazil and Vietnam and with existing stocks of coffee that survived the frost and storms would expect to increase their own sales at the expense of those rivals unable to produce a large enough yield of coffee.
• Similarly, producers in countries not affected by climatic problems should benefit from increased sales and revenue.
Up to 3 marks for explanation/analysis of the extent to which coffee bean producers will not gain:
• If the demand for coffee is price elastic in demand, then coffee producers would not be expected to gain (in terms of reduced revenue).
• For example, those producers unable to produce a sufficiently large enough yield may make losses which may ultimately result in business closures.
• Similarly, depending on the strength of the XED, total revenue may fall if the huge price increase in 2021 results in sufficient numbers of consumers switching their preferences to substitute goods e.g. tea.
Up to 3 marks maximum for each perspective, with an overall maximum of 4 marks.
Up to 2 marks for evaluation:
• That clearly considers whether or not coffee bean producers will gain from the huge increase in coffee bean prices in 2021.
• Comes to a reasoned conclusion as to whether advantages outweigh disadvantages or vice versa (reserve 1 mark)
Note: No mark for eval can be awarded if only one perspective considered.</t>
  </si>
  <si>
    <t xml:space="preserve">This question asked candidates to consider which coffee bean producers might gain from the huge increase in coffee bean prices and why and then compare this to an analysis of which producers may not gain and why. The discussion was expected to focus on the PED value for coffee and PES value for different suppliers. The PES value being crucial in so far as it determined the ability of producers to respond to the price rises and was determined by the frost and storms described in the extract and their ability to build up stocks. Better candidates also referred to the XED value regarding the substitutability of other products including tea. One-sided answers were quite common. However, a reasonable number did achieve a score of 4 marks with a focus on the perceived PED of coffee beans, along with a consideration of both the size of a producer, whether producers had reserves of coffee at the time of the price rise and the extent to which consumers would have switched to other available beverages. Nevertheless, what was clearly apparent was that most candidates failed to access the final 2 evaluation marks. This was the case as they failed to fully address the question as to their perceived judgement of ‘the extent to which’ incomes of coffee bean producers may or may not gained. To gain the full 6 marks this judgement should be part of a valid conclusion drawn from their preceding analysis.</t>
  </si>
  <si>
    <t xml:space="preserve">9708_w24_23_Q1e</t>
  </si>
  <si>
    <t xml:space="preserve">;4.4;6.1;6.3;</t>
  </si>
  <si>
    <t xml:space="preserve">4.4.4, 6.1.3, 6.3.3</t>
  </si>
  <si>
    <t xml:space="preserve">commodity price fluctuations, export revenue, primary product dependence</t>
  </si>
  <si>
    <t xml:space="preserve">Assess the likely impact of the fluctuations in coffee bean prices on the economies of major producers such as Brazil and Vietnam.</t>
  </si>
  <si>
    <t xml:space="preserve">Up to 3 marks for explanation/analysis of potential benefits to economies of major producers:
• Rising coffee prices will result in higher taxes paid to governments which can be used to finance other internal projects – e.g. improvements to education and development of infrastructure and reduce a country’s reliance on coffee bean production.
• This would not only lead to increased economic growth in the short term but also increase the potential for long run increased productive capacity through a more diversified economy.
Up to 3 marks for explanation/analysis of potential costs to economies of major producers:
• Unpredictability of coffee bean prices may reduce business confidence with producers preferring to save the higher revenues to cross-subsidise those time periods where prices have fallen.
• Therefore, increases in investment may be minimal and have an overall smaller contribution to economic growth. Time periods where coffee bean prices are low may result in business closures and lead to rises in unemployment within the industry and the wider economy.
Up to 3 marks maximum for each perspective, with an overall maximum of 4 marks.
Up to 2 marks for evaluation:
• That clearly considers both potential advantages and disadvantages of fluctuating coffee bean prices on the economies of major producers. For example, the relevance of the long-term nature of climate change (1).
• Comes to a reasoned conclusion as to whether advantages outweigh disadvantages or vice versa (1).
Note: No mark for eval can be awarded if only advantages or disadvantages are considered.</t>
  </si>
  <si>
    <t xml:space="preserve">9708_w24_22_Q1e (59%)</t>
  </si>
  <si>
    <t xml:space="preserve">This second 6-mark question was less well answered in general than the previous one. Again, what was required was an explanation and analysis of two sides: both potential benefits and costs to the economies of major coffee producers resulting from the fluctuations in coffee bean prices. Unfortunately, a significant number of candidates offered a repacked version of their response to Question 1(d) and continued to focus on at the firm level rather than the expected macroeconomic consequences in terms of impact on RGDP, unemployment and the balance of payments for example. Moreover, a minority of candidates considered the impact of high and low prices of coffee beans as opposed to its fluctuation. Additionally, even the responses awarded the full 4 marks for analysis, most were not concluded by an evaluated judgement. This, in effect, meant they were not able to access either of the two available marks for evaluation.</t>
  </si>
  <si>
    <t xml:space="preserve">9708_w24_23_Q2a</t>
  </si>
  <si>
    <t xml:space="preserve">1.6.1, 1.6.2, 1.6.3</t>
  </si>
  <si>
    <t xml:space="preserve">public goods, free goods, vaccinations, opportunity cost</t>
  </si>
  <si>
    <t xml:space="preserve">With the aid of examples, explain the characteristics of public goods and free goods and consider whether free-of-charge vaccinations offered by a government should be classified as a free good.</t>
  </si>
  <si>
    <t xml:space="preserve">Follow the point-based marking guidance at the top of this mark scheme and award: up to 3 marks for AO1 Knowledge and understanding, up to 3 marks for AO2 Analysis, and up to 2 marks for AO3 Evaluation.
AO1 Knowledge and Understanding (max 3 marks)
• Free goods are not scarce and have zero opportunity cost / no prices as no factors of production are required to produce them (1).
• Public goods have two main characteristics of non-excludability and non- rivalry with a brief explanation of both terms (1).
• Provide accurate examples of both e.g., fresh air and street lighting respectively (1).
AO2 Analysis (max 3 marks)
• For example, the vaccine is free at the point of use to the consumer (1). However, there is a cost to the taxpayer (1). This means that there is an opportunity cost to the government as providing the vaccine involves the use of scarce resources (1).
Alternative approach:
• If governments provide free-of-charge vaccinations, then there is no price charged to the consumer (1). This means consumers do not need to use their own their own scarce resources to be vaccinated (1) which means there is no opportunity cost to them because they do not need to make a choice between ‘consuming’ the vaccine and reducing their consumption of other goods and services (1).
AO3 Evaluation (max 2 marks)
• Up to 2 marks for evaluating whether or not free-to-charge vaccinations offered by a government can be considered a free good. For example, there is an opportunity cost to the government as the money spent on buying the vaccine might have been used for spending on another priority e.g. education.
AO1 Knowledge and understanding: 3
AO2 Analysis: 3
AO3 Evaluation: 2</t>
  </si>
  <si>
    <t xml:space="preserve">9708_s24_21_Q2a (58%), 9708_s25_22_Q2a (63%), 9708_w25_21_Q3a (60%), 9708_s26_21_Q2a (56%)</t>
  </si>
  <si>
    <t xml:space="preserve">This was a popular question answered by many candidates with a significant majority of candidates were able to accurately explain the characteristics of both public and free goods (providing appropriate examples), In terms of considering whether or not free to charge vaccinations offered by a government should be considered a free good, candidates took one of two different approaches – agreeing with the statement from the perspective of the consumer, or challenging the statement from the point of view of government (often providing a pleasing discussion of the relevance of opportunity cost). Only a small minority of candidates offered a balanced judgement of the question and missed the opportunity to access the two available marks.</t>
  </si>
  <si>
    <t xml:space="preserve">9708_w24_23_Q2b</t>
  </si>
  <si>
    <t xml:space="preserve">;3.2;1.6;3.3;</t>
  </si>
  <si>
    <t xml:space="preserve">3.2.3, 1.6.3, 3.3.4</t>
  </si>
  <si>
    <t xml:space="preserve">free healthcare, merit goods, opportunity cost, equity</t>
  </si>
  <si>
    <t xml:space="preserve">Assess whether the expected benefits of providing healthcare services free of charge at the point of use exceed the likely costs.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</si>
  <si>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Potential benefits of providing healthcare services free-of-charge at the point of use include:
• It addresses concerns on affordability/inequality to access health care, insurance and information gaps e.g. preventative earlier treatments for elderly and children.
• It may also avoid a potential loss of output resulting from worker absenteeism. It increases the likelihood of resources being prioritised to patient need as opposed to profit.
Potential disadvantages from providing healthcare services free-of-charge at the point of use include:
• Demand may exceed supply which may result in increased costs to governments.
• Charging consumers will reduce on wastage in terms of ‘missed’ medical appointments; potential for health inequality resulting in income inequality.
• Private firms may be more efficient in providing the healthcare services required in the quantities and regions required. The opportunity cost to the government in terms of reduced spending on roads etc.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 Requires an assessment of whether or not the expected benefits of providing healthcare free of charge at the point of use exceed the likely costs which leads to
• A justified conclusion which may include alternative approaches including a mixture of free and chargeable healthcare.
Note: A one-sided response cannot gain any marks for evaluation.
AO1 Knowledge and understanding and AO2 Analysis: 8
AO3 Evaluation: 4</t>
  </si>
  <si>
    <t xml:space="preserve">This question produced responses across the whole ability range. Candidates confidently provided a detailed explanation of a range of benefits and costs with the strongest responses balancing the increased costs to the government at a time of rising national debt and the medium to long-term benefits of a healthier workforce being able to work, acquire new skills adding to the productive capacity of the economy. Less-strong responses tended to adopt a more normative approach and wrote of the ‘fairness’ of those who could afford private health insurance compared to those that could not. Whilst valid to include, these responses tended to be brief on the depth of the economic arguments. As with other questions rewarding evaluation, few offered an overall judgement, and it was common to see 0 or 1 mark awarded for evaluation.</t>
  </si>
  <si>
    <t xml:space="preserve">9708_w24_23_Q3a</t>
  </si>
  <si>
    <t xml:space="preserve">3.3.1, 3.3.2, 3.3.3</t>
  </si>
  <si>
    <t xml:space="preserve">income inequality, wealth inequality, measurement</t>
  </si>
  <si>
    <t xml:space="preserve">Explain two economic reasons for inequality in the distribution of income and wealth and consider why inequality in the distribution of wealth cannot easily be measured.</t>
  </si>
  <si>
    <t xml:space="preserve">Follow the point-based marking guidance at the top of this mark scheme and award: up to 3 marks for AO1 Knowledge and understanding, up to 3 marks for AO2 Analysis, AND up to 2 marks for AO3 Evaluation.
AO1 Knowledge and understanding (max 3 marks)
• An explanation of how inequality of income and wealth means an uneven distribution of income and wealth among a population (1).
• An explanation of two reasons for income and wealth inequality. – For example: Poor education and training results in the individual gaining fewer/less marketable skills that prevents them from applying for jobs with higher salaries (1). – Low rates of saving which makes it increasingly difficult to buy property. Wealth inequality widens as rising property prices not only make it more difficult to purchase a property, but benefits those who are already property owners (1).
AO2 Analysis (max 3 marks)
Points to consider may include (other difficulties may be considered):
• Wealth is comprised from many sources housing assets, savings, financial instruments, pensions, and different countries have different ways of measuring it (1).
• Some wealth may not be included in any calculation should wealthy individuals legally use tax havens to reduce the value of their wealth (1).
• Ownership of wealth may be transferred to family members to reduce the value of personal wealth value (1).
AO3 Evaluation (max 2 marks)
• For a balanced evaluation of whether wealth inequality cannot always easily be measured (1), leading to a justified conclusion (1).
AO1 Knowledge and understanding: 3
AO2 Analysis: 3
AO3 Evaluation: 2</t>
  </si>
  <si>
    <t xml:space="preserve">9708_m23_22_Q3a (64%)</t>
  </si>
  <si>
    <t xml:space="preserve">This question was by far the least popular of the two microeconomics questions. Those that selected this question were often able to confidently explain the meaning of inequality in the distribution of income and wealth (although frequently this was not addressed) and could accurately explain two economic reasons why it might occur. In addition, many candidates provided a well thought out explanation of a range of measurement issues, including the use of tax havens, accountancy ‘window dressing’ techniques and different ways in which wealth is comprised within a country. However, weaker candidates rarely attempted answers to the ‘consider’ part of the question or responses were far too vague to gain any merit. Unfortunately, few candidates developed their answer beyond this point and did not offer a balanced evaluation based on their earlier discussion.</t>
  </si>
  <si>
    <t xml:space="preserve">9708_w24_23_Q3b</t>
  </si>
  <si>
    <t xml:space="preserve">redistribution policies, progressive tax, transfer payments, minimum wage</t>
  </si>
  <si>
    <t xml:space="preserve">Assess which policies are likely to be most effective in redistributing income.</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</si>
  <si>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Polices may include:
• Use of policies to redistribute income. For example, the introduction of a minimum wage (or increase an existing minimum wage) will increase the wage of the lowest earners and reduce the difference between the highest and lowest earners.
• Problems of minimum wages include the possibility of increasing cost- push inflation, higher rates of unemployment and that in some countries only a small proportion of the population are in receipt of the minimum wage.
• Alternative policies that may be considered include progressive tax systems – by increasing the number of tax brackets or increasing the higher tax rates will reduce the post-tax income of higher earners and reduce the difference between the highest and lowest earners.
• Problems of the alternative policy – for example, increased incentives for individuals to seek ways to legally avoid the higher tax rates. Increased administrative costs associated with implementing new systems for income assessment and tax collection.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 Requires an assessment of at least two policies to be compared against each other which leads to
• A justified conclusion as to which policy (or combination) is most likely to be most effective in redistributing income.
Accept all valid responses.
Note: A one-sided response cannot gain any marks for evaluation.
AO1 Knowledge and understanding and AO2 Analysis: 8
AO3 Evaluation: 4</t>
  </si>
  <si>
    <t xml:space="preserve">9708_s26_21_Q3b (59%)</t>
  </si>
  <si>
    <t xml:space="preserve">In general answers to this part (b) tended to be more focused on the question set which resulted in a pleasing number of candidates achieving a mark in the higher levels of response. Better candidates offered some explanation of the advantages and disadvantages of one specific policy before offering a comparison with another (sometimes two) policy option(s) – all focusing on the extent to which each policy would theoretically redistribute income. The main weaknesses were a lack of application to how the policies discussed would actually redistribute income as opposed to merely increasing all incomes. Marks for evaluation were once again low, if awarded at all, with very few reaching a Level 2 score for judgement as to which policy (or policies) were likely to be most effective. This results from many conclusions being summative and assertive rather than directly comparing the advantages and disadvantages of the policies discussed.</t>
  </si>
  <si>
    <t xml:space="preserve">9708_w24_23_Q4a</t>
  </si>
  <si>
    <t xml:space="preserve">4.6.4, 4.3.9</t>
  </si>
  <si>
    <t xml:space="preserve">cost-push inflation, AD/AS, own economy</t>
  </si>
  <si>
    <t xml:space="preserve">In 2021, year-on-year inflation in many economies increased to a level not experienced for fifty years. With the help of a diagram, explain what is meant by cost-push inflation and consider whether this type of inflation has affected your own economy since 2021.</t>
  </si>
  <si>
    <t xml:space="preserve">Follow the point-based marking guidance at the top of this mark scheme and award: up to 3 marks for AO1 Knowledge and understanding, up to 3 marks for AO2 Analysis, and up to 2 marks for AO3 Evaluation.
AO1 Knowledge and understanding (max 3 marks)
• An explanation of cost-push inflation – when the price level rises due to higher costs of production and raw materials (1).
• An accurate aggregate and aggregate supply diagram showing a shift to the left of the short run AS curve (1).
• This results in a rise in the price level and a contraction/movement along the aggregate demand (AD) curve (1).
AO2 Analysis (max 3 marks)
Points to consider:
• For example, an increase in wages/salaries increases the firm’s costs of production (1). Firms will look to pass these additional costs onto its customers which increase the price of all goods and services (1).
• Increased import prices (due to a depreciation of the domestic currency) (1) will increase the costs of production to firms that are reliant on other countries to produce raw materials/price inelastic demand for imports (1).
AO3 Evaluation (max 2 marks)
• Evaluation should explain the extent to which inflation in the named economy is the result of cost-push factors as opposed to demand pull causes (1), leading to a justified conclusion (1).
N.B: if the evaluation is not in the context of a named economy, then no evaluation marks can be awarded.
AO1 Knowledge and understanding: 3
AO2 Analysis: 3
AO3 Evaluation: 2</t>
  </si>
  <si>
    <t xml:space="preserve">This was the most popular option of macroeconomics essays and produced the full range of marks available. Most candidates provided a correct explanation of cost-push inflation developing their response with an accurate aggregate and aggregate supply diagram. These responses often went onto use country specific information to discuss the impact of rising wages and/or supply chain issues increasing import prices on domestic costs of production. Similarly, the best responses went on to discuss the issue of the reliance on imports and the lack of natural resources meant that inflation in their own country was largely cost-push in nature. The perennial issue of inaccurate diagrams remains with candidates still producing micro rather than macroeconomic diagrams.</t>
  </si>
  <si>
    <t xml:space="preserve">9708_w24_23_Q4b</t>
  </si>
  <si>
    <t xml:space="preserve">benefits of inflation, costs of inflation</t>
  </si>
  <si>
    <t xml:space="preserve">Assess whether the potential benefits of an increasing rate of inflation outweigh the potential costs for an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</si>
  <si>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Potential benefits of an increasing rate of inflation include:
• It stimulates output – a low and stable inflation rate caused by existing demand may make firms feel more optimistic about the future and encourage them to invest to expand their business.
• A possible reduction in the burden of debt. If inflation is rising faster than the nominal rate of interest on previous borrowing then real interest rates become negative which may stimulate consumer expenditure which, in turn, could lead to higher output and employment.
Potential costs of an increasing rate of inflation include:
• A reduction in net exports as rising inflation rates may reduce the international competitiveness of a country resulting in reduced export revenue and increased import expenditure.
• Fiscal drag – if tax rates are not increased in line with inflation, then people are ‘dragged’ (pulled) into higher tax brackets. As such, lower proportions of any increase in incomes are enjoyed by the taxpayer.
Level 1 responses will be assertive and lacking in explanations / mainly descriptive and/or or mainly lacking in relevance to the question.
Level 2 responses may contain some inaccuracies and will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Requires an assessment of the benefits and costs of increasing rate of inflation (which may refer to specific groups) which leads to a justified conclusion as to which the benefits outweigh the potential costs.
Accept all valid responses. N.B: A one-sided response cannot gain any marks for evaluation.
AO1 Knowledge and understanding and AO2 Analysis: 8
AO3 Evaluation: 4</t>
  </si>
  <si>
    <t xml:space="preserve">9708_w21_22_Q4b (65%), 9708_m23_22_Q1e (55%), 9708_w23_22_Q5b (64%)</t>
  </si>
  <si>
    <t xml:space="preserve">It was expected that the discussion should focus on the potential benefits and costs of inflation. It was reassuring to see few candidates offering a one-sided approach with many producing a balanced range of impacts – including demand-pull inflation being the consequence of increased economic growth versus the potential worsening of the balance of payments from a loss of international price competitiveness. The best responses went to conclude their response by considering the relevance of both the time dimension and whether the inflation was cost-push or demand pull in nature. Weaker responses tended to merely assert potential costs and benefits rather than explain them via detailed chains of reasoning.</t>
  </si>
  <si>
    <t xml:space="preserve">9708_w24_23_Q5a</t>
  </si>
  <si>
    <t xml:space="preserve">tools of protection, employment, output</t>
  </si>
  <si>
    <t xml:space="preserve">Explain two methods of protection in international trade and consider which of these is likely to have the bigger impact on employment and output in the economy which imposes them.</t>
  </si>
  <si>
    <t xml:space="preserve">Follow the point-based marking guidance at the top of this mark scheme and award: up to 3 marks for AO1 Knowledge and understanding, up to 3 marks for AO2 Analysis, and up to 2 marks for AO3 Evaluation.
AO1 Knowledge and understanding (max 3 marks)
• Protectionism is when governments attempt to protect domestic businesses against foreign competition (1).
• Explanation of two methods of protection – e.g., tariffs, import quotas, export subsidies, embargoes, excessive administrative burdens (‘red tape’) and how each method distorts the free market/supports domestic production (1+1).
AO2 Analysis (max 3 marks overall)
Points to consider:
• An explanation of how each method affects domestic employment (1+1).
For example, tariffs increase import prices and encourage expenditure switching to domestic production. This increases the level of employment as more workers are recruited to meet the additional output.
• However, if the demand for imports is price inelastic in demand, then the reduction in imports may be less (1), therefore domestic output (and employment) may not rise as much as when compared to import quotas (1).
AO3 Evaluation (max 2 marks)
• Evaluation should consider which method is likely to have the biggest impact on employment (1), leading to a justified conclusion (1).
AO1 Knowledge and understanding: 3
AO2 Analysis: 3
AO3 Evaluation: 2</t>
  </si>
  <si>
    <t xml:space="preserve">9708_w25_21_Q5a (64%)</t>
  </si>
  <si>
    <t xml:space="preserve">Despite being a popular area of the specification, many candidates encountered difficulties in accessing the knowledge and understanding marks for this question. For example, many candidates stated that protectionism was protecting domestic firms without being clear what they were being protected from. Similarly, candidates often identified two methods of protection but did not develop the response to explain how each method supported domestic production. Nonetheless, candidates were far more confident in analysing the impact of how at least one of the methods would support domestic production and employment. The best answers went on to conclude their response by providing a thoughtful consideration of which method was most likely to be effective – for example, the reduction on imports would be more certain from a system of quotas compared to the introduction of tariffs due to the dependency of imports and/or the relative quality of domestic goods compared to the international alternatives. Less sophisticated responses offered a more general consideration of how each method might reduce imports and the resultant impact on consumer/producer surplus rather than focus on the impact on domestic employment and output.</t>
  </si>
  <si>
    <t xml:space="preserve">9708_w24_23_Q5b</t>
  </si>
  <si>
    <t xml:space="preserve">6.5.2, 6.2.3</t>
  </si>
  <si>
    <t xml:space="preserve">protectionism, current account deficit, alternative policies</t>
  </si>
  <si>
    <t xml:space="preserve">Assess whether protectionism is always the best way of reducing a deficit on the current account of the balance of payments.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</si>
  <si>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Protectionism:
• Advantages of protectionism – for example, tariffs can reduce the value of imports in the short term as infant industries grow and gain the economies of scale to enable them to be internationally price competitive. This reduction in foreign dependency will reduce the value of imports which (ceteris paribus) reduce a deficit on the current account.
• Problems of protectionism includes – the ability to reduce the value of imports will be influenced by the price elasticity of demand for imports. Moreover, the possibility of retaliation thereby reducing the value of exports. This may not only limit any reduction in the current account deficit but may hinder a government’s ability to achieve other macroeconomic objectives – e.g., reducing the level of unemployment or possibility of increasing cost-push inflation.
• Alternative policies that may be considered include contractionary monetary policy – higher interest rates will increase the cost of debt and mortgage repayments and leave people with less money to spend. Therefore, this will reduce their consumption of imports, improving the current account.
• Problems of the alternative policy – for example, an increase in interest rates will tend to cause hot money flows and therefore an appreciation in the exchange rate. This appreciation makes exports less competitive, and imports more attractive. Assuming demand is relatively elastic, this appreciation will worsen the current account.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 Requires an assessment of the protectionism and at least one other policy in reducing a current account deficit which leads to
A justified conclusion as to which policy may be best way to reduce economic growth or whether a combination of policies might be more appropriate.
Accept all valid responses.
Note: A one-sided response cannot gain any marks for evaluation.
AO1 Knowledge and understanding and AO2 Analysis: 8
AO3 Evaluation: 4</t>
  </si>
  <si>
    <t xml:space="preserve">9708_w22_21_Q4b (66%), 9708_m23_22_Q5b (73%), 9708_s23_22_Q4b (92%), 9708_m24_22_Q4b (74%), 9708_w25_22_Q4b (70%), 9708_w25_23_Q5b (74%)</t>
  </si>
  <si>
    <t xml:space="preserve">This question produced the whole range of available marks. Most candidates were able to explain both how protectionism might correct a deficit on the current account and the potential limitations of this approach – for example, import reduction matched by unexpected export reductions should international rivals retaliate and impose tariffs of their own. The strongest candidates developed their response to consider at least one other option with the most common being contractionary monetary policy. This enabled them to make an evaluative consideration of both approaches and consider which was likely to be ‘best’ – this was done by considering the wider impacts, namely the dampening of domestic demand from rising interest rates. Weaker responses tended to repeat large volumes of part (a) rather than focus on the impact on the current account.</t>
  </si>
  <si>
    <t xml:space="preserve">9708_s25_21_Q1a</t>
  </si>
  <si>
    <t xml:space="preserve">4.6.1, 5.3.2</t>
  </si>
  <si>
    <t xml:space="preserve">inflation rate, interest rate, data comparison</t>
  </si>
  <si>
    <t xml:space="preserve">USA – inflation and the Federal Reserve</t>
  </si>
  <si>
    <t xml:space="preserve">Using the data in Table 1.1, compare changes in the inflation rate and changes in the interest rate in the US.</t>
  </si>
  <si>
    <t xml:space="preserve">• The inflation rate rose and then fell, while the interest rate rose continuously. (1)
• The proportionate changes in the interest rate were always greater than that of the inflation rate. (1)
Marks should be awarded for an explicit comparison between changes in the inflation rate and changes in the interest rate in the US, not for a description of those changes in each of the three months.</t>
  </si>
  <si>
    <t xml:space="preserve">Stronger responses compared changes in the inflation rate and changes in the interest rate in the US using Table 1.1, pointing out that the inflation rate rose and then fell while the interest rate rose continuously and that the proportionate changes in the interest rate were always greater than that of the inflation rate. Weaker responses simply described what was happening rather than explicitly compare the changes.</t>
  </si>
  <si>
    <t xml:space="preserve">9708_s25_21_Q1b</t>
  </si>
  <si>
    <t xml:space="preserve">consumer price index, measurement difficulties</t>
  </si>
  <si>
    <t xml:space="preserve">Explain one reason why using the Consumer Price Index (CPI) to measure the inflation rate in the US may not produce an accurate result.</t>
  </si>
  <si>
    <t xml:space="preserve">• The CPI is supposed to be based on the average basket of products bought by all households (1), but as buying patterns change the basket used in the CPI may no longer be typical of all households. (1)
• The weights and products are usually updated every two or three years to reflect changes in buying patterns (1), but this may not be frequent enough if there is a rapid change in the products being bought and/or the proportion of income spent on them. (1)</t>
  </si>
  <si>
    <t xml:space="preserve">Stronger responses explained one reason why using the Consumer Price Index (CPI) to measure the inflation rate in the US may not produce an accurate result. For example, the CPI is supposed to be based on the average basket of products bought by all households, but as buying patterns change the basket used in the CPI may no longer be typical of all households. However, many responses did not demonstrate a clear understanding of the limitations of the CPI as a way of measuring inflation.</t>
  </si>
  <si>
    <t xml:space="preserve">9708_s25_21_Q1c</t>
  </si>
  <si>
    <t xml:space="preserve">4.6.1, 4.6.5, 5.3.3</t>
  </si>
  <si>
    <t xml:space="preserve">disinflation, deflation, consequences of inflation, contractionary monetary policy</t>
  </si>
  <si>
    <t xml:space="preserve">‘In an attempt to bring about disinflation, the Federal Reserve used a contractionary monetary policy.’ Consider whether disinflation is more harmful than deflation.</t>
  </si>
  <si>
    <t xml:space="preserve">• Disinflation is a fall in the rate of inflation (in an economy over a period of time) (1), so although this means that the problems caused by inflation will be less they will still be in existence, such as the effect on the distribution of income, purchasing power, the competitiveness of exports, menu costs, shoe leather costs and the impact on investment planning. (1)
• Deflation is a fall in the average or general level of prices (in an economy over a period of time) (1), but this too can bring problems such as when a substantial fall in aggregate demand leads to a recession with lower output and higher unemployment and so has a potentially negative effect on the investment decisions of firms. (1)
Max 3 marks.
There will be a max mark of 2 if a candidate only considers disinflation or deflation and they will not, in this case, be able to gain any evaluation marks.
Evaluation
• What is the extent of the disinflation, i.e. by how much is the inflation rate falling? (1)
• How long is the disinflation and deflation expected to last? (1)
• To what extent are other countries experiencing disinflation or deflation? (1)
Max 1 mark</t>
  </si>
  <si>
    <t xml:space="preserve">Correct</t>
  </si>
  <si>
    <t xml:space="preserve">Checked in pilot sample</t>
  </si>
  <si>
    <t xml:space="preserve">Many responses demonstrated a clear knowledge and understanding of the distinction between disinflation, where there is a fall in the rate of inflation in an economy over a period of time but where prices are still rising, and deflation, where there is a fall in the average or general level of prices in an economy over a period of time, i.e. inflation is negative. They then went on to consider whether disinflation was more harmful than deflation. One of the four marks in this question was for evaluation, but very few candidates were able to gain this mark.</t>
  </si>
  <si>
    <t xml:space="preserve">9708_s25_21_Q1d</t>
  </si>
  <si>
    <t xml:space="preserve">;5.3;4.3;4.5;</t>
  </si>
  <si>
    <t xml:space="preserve">5.3.3, 5.3.4, 4.3.12</t>
  </si>
  <si>
    <t xml:space="preserve">interest rates, recession, aggregate demand, interest elasticity</t>
  </si>
  <si>
    <t xml:space="preserve">Assess whether increases in the interest rate make a recession in the US inevitable.</t>
  </si>
  <si>
    <t xml:space="preserve">Up to 4 marks for explanation/analysis:
• Inevitable: higher interest rates (0.25% in January 2022, 1.50% in June 2022, 4.50% in December 2022) make borrowing more expensive for both consumers and firms, so that there is a fall in both AD and AS, leading to higher unemployment and a recession.                     (Up to 3 marks)
• Not inevitable: demand and supply may not be interest elastic and there are other factors that can influence AD and AS apart from interest rates. (Up to 3 marks)
Up to 2 marks for evaluation:
• Relevant evaluation which considers both the potential likelihood of recession and the possibility of there not being a recession in the US and weighs up the factors involved. (1)
• Reserve 1 mark for a conclusion on whether increases in the interest rate make a recession in the US inevitable. (1)</t>
  </si>
  <si>
    <t xml:space="preserve">Most responses demonstrated a knowledge and understanding of the possible impact of increases in the interest rate on firms and consumers, making borrowing more expensive so that there was a fall in both aggregate supply and aggregate demand. However, relatively few went on to assess whether this made a recession in the US inevitable because demand and supply may not necessarily be interest elastic and so there might not actually be a significant effect of increases in the interest rate on supply and demand. There were two marks available for evaluation in this question, but relatively few candidates gained any of these marks; it is important that candidates realise that they are required to offer some evaluation in 1 (d) questions and this is why a careful reading of the question is so important.</t>
  </si>
  <si>
    <t xml:space="preserve">9708_s25_21_Q1e</t>
  </si>
  <si>
    <t xml:space="preserve">;5.3;5.1;4.6;</t>
  </si>
  <si>
    <t xml:space="preserve">5.3.1, 5.1.1</t>
  </si>
  <si>
    <t xml:space="preserve">inflation target, central bank, inflation expectations, wage-price spiral</t>
  </si>
  <si>
    <t xml:space="preserve">Assess whether the Federal Reserve setting an inflation target as part of its monetary policy is likely to be helpful for the US economy.</t>
  </si>
  <si>
    <t xml:space="preserve">Up to 4 marks for explanation/analysis:
• Possibly helpful: it can help to create and maintain a degree of stability and confidence in the US economy at a time of significant price increases, informing consumers and firms that appropriate action will be taken to prevent the rate of inflation from becoming too high. It can influence inflation expectations; if these remain stable, it may help to prevent (or limit) a wage-price spiral.                    (Up to 3 marks)
• Possibly unhelpful: the establishment of a target may not be particularly helpful as the Federal Reserve may not be willing to take the necessary measures to keep inflation at a particular level; it is aware that there is a delicate balancing act between keeping the rate of inflation close to a particular target and the risk of bringing about an economic downturn. (Up to 3 marks)
Up to 2 marks for evaluation:
• Relevant evaluation such as in relation to the particular inflation target adopted by the Federal Reserve. (1)
• Reserve 1 mark for a conclusion on whether it is helpful for the Federal
Reserve to set an inflation target for the US economy. (1)</t>
  </si>
  <si>
    <t xml:space="preserve">A number of candidates made quite a good attempt to assess whether the Federal Reserve setting an inflation target as part of its monetary policy was likely to be helpful for the US economy. Arguments in favour of it included the degree of stability and confidence it could provide, while arguments against it included the fact that the Federal Reserve might be unwilling to take the necessary measures to keep inflation at that particular level. As in the previous question, many candidates did not attempt to offer any evaluation of the potential benefits and limitations of setting an inflation target as part of its monetary policy despite the fact that the command word used in the question was ‘assess’.</t>
  </si>
  <si>
    <t xml:space="preserve">9708_s25_21_Q2a</t>
  </si>
  <si>
    <t xml:space="preserve">1.5.2, 1.5.3, 1.5.4, 1.1.3</t>
  </si>
  <si>
    <t xml:space="preserve">PPC, opportunity cost, movement within PPC, shift of PPC</t>
  </si>
  <si>
    <t xml:space="preserve">With the help of a diagram, explain the reasons for a movement within a production possibility curve (PPC) and a shift of a PPC and consider the extent to which opportunity cost determines the shape of a PPC.</t>
  </si>
  <si>
    <t xml:space="preserve">Follow the point-based marking guidance at the top of this mark scheme and award: up to 3 marks for AO1 Knowledge and understanding up to 3 marks for AO2 Analysis up to 2 marks for AO3 Evaluation.
AO1 Knowledge and understanding (max 3 marks)
A knowledge and understanding of a PPC diagram:
• Vertical axis correctly labelled, e.g. Good Y, Consumer Goods, Agricultural Goods. (1)
• Horizontal axis correctly labelled, e.g. Good X, Capital Goods, Manufactured Goods. (1)
• PPC touches both axes. (1)
AO2 Analysis (max 3 marks)
An analysis of the reasons for a movement within a PPC and a shift of a PPC:
• Movement within a PPC is caused by a reallocation of existing resources. (1)
• A shift of a PPC is the result of an increase in the quantity and/or quality of resources or the impact of an improvement in technology. (1)
• A shift of a PPC does not involve the concept of opportunity cost because with the use of additional resources, more of two goods could be produced. (1)
AO3 Evaluation (max 2 marks)
Offers a valid judgement on the extent to which opportunity cost determines the shape of a PPC, distinguishing between constant opportunity costs (a straight line) and increasing opportunity costs (a curve) (1) to reach a conclusion. (1)
AO1 Knowledge and understanding: 3
AO2 Analysis: 3
AO3 Evaluation: 2</t>
  </si>
  <si>
    <t xml:space="preserve">9708_s25_23_Q1c (56%)</t>
  </si>
  <si>
    <t xml:space="preserve">In this part of the question, candidates were required to explain the reasons for a movement within a production possibility curve (PPC) and a shift of a PPC, with the help of a diagram, and then to go on to consider the extent to which opportunity cost determines the shape of a PPC. Most candidates were able to draw and label a PPC, but some incorrectly labelled the two axes as ‘price’ and ‘quantity’ and some did not ensure that the two ends of the PPC actually touched the axes. Most candidates understood that movement within a PPC was caused by a reallocation of existing resources whereas a shift of a PPC was the result of an increase in the quantity and/or quality of resources or the impact of an improvement in technology. A number of candidates were able to demonstrate the extent to which opportunity cost determined the shape of a PPC, e.g. if there were constant opportunity costs, the PPC would be drawn as a straight line rather than as a curve.</t>
  </si>
  <si>
    <t xml:space="preserve">9708_s25_21_Q2b</t>
  </si>
  <si>
    <t xml:space="preserve">;1.5;1.3;4.4;</t>
  </si>
  <si>
    <t xml:space="preserve">1.5.3, 1.3.1, 1.3.2, 4.4.4</t>
  </si>
  <si>
    <t xml:space="preserve">PPC shift, quantity of resources, quality of resources, technology</t>
  </si>
  <si>
    <t xml:space="preserve">Assess whether a shift to the right of a PPC is only caused by an increase in the quantity of resources.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</si>
  <si>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 increase in the quantity of resources: an increase in the quantity of land, labour, capital or enterprise would enable an economy to produce more of all goods and so the PPC shifts outwards.
• An increase in the quality of resources: it is not only an increase in the quantity of resources that can cause a shift to the right of a PPC; if there is an increase in the quality and productivity of the factors of production, this will also lead to a shift to the right of a PPC.
• Technological change: this could be a cause of a shift to the right of a PPC.
Level 1 responses will be assertive and lacking in explanations/mainly descriptive and/or mainly lacking in relevance to the question.
Level 2 responses may contain some inaccuracies and may be one sided. Analysis will be explained at least in part and will be largely relevant to the question.
Level 3 responses will consider alternative policies/concepts etc. and will be balanced. Explanations of points raised will be offered and will be accurate and relevant to the question.
Accept all valid responses.
AO3 Evaluation
• Evaluation of the influence of both the quantity and the quality of resources/factors of production in bringing about a shift to the right of a PPC.
• Evaluation of the potential influence of both the quantity and quality of resources in expanding an economy’s productive capacity through the increased availability and quality of inputs.
AO1 Knowledge and understanding and AO2 Analysis: 8
AO3 Evaluation: 4</t>
  </si>
  <si>
    <t xml:space="preserve">In the second part of the question, candidates were required to assess whether a shift to the right of a PPC was only caused by an increase in the quantity of resources and many candidates recognised that it was not only the quantity of resources that was important but also the quality of resources. There was also some good assessment of the potential impact of technological change. Unfortunately, the quality of the evaluation was rather limited and candidates need to remember that although eight marks are allocated to ‘knowledge and understanding’ (AO1) and ‘analysis’ (AO2) in the part (b) questions, four marks are allocated to ‘evaluation’ (AO3). Candidates also need to understand that a summary does not constitute an evaluation.</t>
  </si>
  <si>
    <t xml:space="preserve">9708_s25_21_Q3a</t>
  </si>
  <si>
    <t xml:space="preserve">3.2.2, 2.4.2, 2.2.7</t>
  </si>
  <si>
    <t xml:space="preserve">subsidy, equilibrium price and quantity, PED, government expenditure on subsidy</t>
  </si>
  <si>
    <t xml:space="preserve">With the help of a diagram, explain how changes in a subsidy can influence the price and quantity sold of a product in a market and consider how expenditure on a subsidy is affected by the price elasticity of demand for the product.</t>
  </si>
  <si>
    <t xml:space="preserve">Follow the point-based marking guidance at the top of this mark scheme and award: up to 3 marks for AO1 Knowledge and understanding up to 3 marks for AO2 Analysis up to 2 marks for AO3 Evaluation.
AO1 Knowledge and understanding (max 3 marks)
A knowledge and understanding of a subsidy diagram:
• Axes correctly labelled (vertical axis: Price, horizontal axis: Quantity) and demand and supply curves correctly labelled. (1)
• An increase in a subsidy causing the supply curve to shift to the right bringing about a fall in price and a rise in quantity with new equilibrium positions (for price and for quantity) clearly shown. (1)
• A decrease in a subsidy would cause the supply curve to shift to the left, raising price and lowering quantity with new equilibrium positions (for price and for quantity) clearly shown. (1)
AO2 Analysis (max 3 marks)
An analysis of the impact of a subsidy in a market:
• A subsidy is a sum of money paid by a government to a producer. (1)
• The effect of an increase in a subsidy is that the price charged to a consumer will be lower than it would otherwise have been, leading to an increase in quantity; this may be done to keep down the price, and encourage the consumption, of certain products. (1)
• The effect of a decrease in a subsidy would have the opposite effect. (1)
AO3 Evaluation (max 2 marks)
Offers a valid judgement on how expenditure on a subsidy is affected by the price elasticity of demand for the product (1) to reach a conclusion. (1)
AO1 Knowledge and understanding: 3
AO2 Analysis: 3
AO3 Evaluation: 2</t>
  </si>
  <si>
    <t xml:space="preserve">In this part of the question, candidates were required to explain, with the help of a diagram, how changes in a subsidy can influence the price and quantity sold of a product in a market and then to go on to consider how expenditure on a subsidy was affected by the price elasticity of demand for the product. Most candidates only considered an increase in a subsidy, shifting the supply curve for the product to the right, and not a decrease in a subsidy, which would shift the supply curve to the left. This illustrates the importance of candidates carefully reading the question as the question did explicitly refer to ‘changes in a subsidy’. There were some good attempts to consider the potential impact of price elasticity of demand for the product.</t>
  </si>
  <si>
    <t xml:space="preserve">9708_s25_21_Q3b</t>
  </si>
  <si>
    <t xml:space="preserve">;3.2;3.1;1.6;</t>
  </si>
  <si>
    <t xml:space="preserve">3.2.1, 3.2.6, 3.2.4, 3.1.2, 1.6.4</t>
  </si>
  <si>
    <t xml:space="preserve">indirect tax, demerit good, PED, information campaign, minimum price</t>
  </si>
  <si>
    <t xml:space="preserve">Assess whether an increase in the tax on a demerit good is always the best way to reduce the consumption of such a product.</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</si>
  <si>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Explanation of the potential advantages and benefits of an increase in the tax on a demerit good:
• The increase in the indirect tax will increase the price of the product.
• The increase in price is likely to decrease the consumption of the product.
Explanation of the potential disadvantages and limitations of an increase in the tax on a demerit good:
• The demand for the demerit good may be relatively inelastic meaning that the increase in tax will only have a relatively slight impact.
• Other methods may be more effective in decreasing consumption, such as an information campaign to make consumers more aware of the potential disadvantages of consuming a demerit good or the establishment of a minimum price for a demerit good.
Level 1 responses will be assertive and lacking in explanations/mainly descriptive and/or mainly lacking in relevance to the question.
Level 2 responses may contain some inaccuracies and may be one sided. Analysis will be explained at least in part and will be largely relevant to the question.
Level 3 responses will consider alternative policies/concepts etc. and will be balanced. Explanations of points raised will be offered and will be accurate and relevant to the question.
Accept all valid responses.
AO3 Evaluation
• Evaluation of the potential effectiveness of an increase in the tax on a demerit good.
• Evaluation of whether other methods, such as an information/education campaign, might be more effective.
• In conclusion, whether an increase in the tax on a demerit good is always the best way to decrease the consumption of such a good.
Accept all valid responses.
AO1 Knowledge and understanding and AO2 Analysis: 8
AO3 Evaluation: 4</t>
  </si>
  <si>
    <t xml:space="preserve">9708_m24_22_Q2b (59%), 9708_s24_22_Q3b (64%)</t>
  </si>
  <si>
    <t xml:space="preserve">In the second part of the question, candidates were required to assess whether an increase in the tax on a demerit good was always the best way to reduce the consumption of such a product. There were some good answers to this question, with candidates analysing the potential advantages and disadvantages of using taxation as a way to discourage the consumption of a demerit good. They pointed out that because the demand for such products was usually price inelastic, other approaches might need to be used, such as an information campaign and/or the establishment of a minimum price for the product. Unfortunately, little evaluation was provided by the majority of candidates in terms of assessing whether an increase in tax on a demerit good was always likely to be the best way to reduce the consumption of a demerit good, despite the fact that four of the twelve marks available were for evaluation.</t>
  </si>
  <si>
    <t xml:space="preserve">9708_s25_21_Q4a</t>
  </si>
  <si>
    <t xml:space="preserve">circular flow, closed vs open economy, injections, leakages</t>
  </si>
  <si>
    <t xml:space="preserve">Explain how the circular flow of income in an economy changes when that economy moves from a closed to an open economy and consider what determines the extent of the change.</t>
  </si>
  <si>
    <t xml:space="preserve">Follow the point-based marking guidance at the top of this mark scheme and award: up to 3 marks for AO1 Knowledge and understanding up to 3 marks for AO2 Analysis up to 2 marks for AO3 Evaluation.
AO1 Knowledge and understanding (max 3 marks)
A knowledge and understanding of the meaning of the circular flow of income in an economy:
• The way in which income flows around an economy, from firms to households and back to firms in a continuous process. (1)
• Payments are made to factors of production in the form of income, profit and rent. (1)
• Payments from all these sources are spent on goods and services.(1)
AO2 Analysis (max 3 marks)
An analysis of injections and withdrawals/leakages as an economy moves from a closed economy to an open economy:
• CLOSED ECONOMY – Injections: Investment (I) and Government spending (G)
• Withdrawals/leakages: Savings (S) and Taxes (T)
• OPEN ECONOMY – Injections: Spending on exports (X) is added to I and G
• Withdrawals/leakages: Spending on imports (M) is added to S and T
There will be a max mark of 2 if a candidate only considers a closed economy or an open economy, and they will not, in this case, be able to gain any evaluation marks.
AO3 Evaluation (max 2 marks)
Offers a valid judgement on what determines the extent of the change from a closed to an open economy (1) to reach a conclusion. (1)
AO1 Knowledge and understanding: 3
AO2 Analysis: 3
AO3 Evaluation: 2</t>
  </si>
  <si>
    <t xml:space="preserve">9708_m23_22_Q4a (55%), 9708_s26_24_Q4a (60%)</t>
  </si>
  <si>
    <t xml:space="preserve">In this part of the question, candidates were required to explain how the circular flow of income in an economy changes when that economy moves from a closed economy to an open economy and then to go on to consider what determines the extent of this change. Most candidates demonstrated quite a sound knowledge and understanding of the circular flow of income, both in terms of a closed economy where injections would comprise investment and government spending and withdrawals or leakages would comprise savings and taxes, and in terms of an open economy where spending on exports would be an additional injection and spending on imports would be an additional leakage or withdrawal. Unfortunately, relatively few candidates made much of an attempt to consider what might determine the extent of the change from a closed economy to an open economy, despite the fact that two evaluation marks were available for a consideration of the extent of this change.</t>
  </si>
  <si>
    <t xml:space="preserve">9708_s25_21_Q4b</t>
  </si>
  <si>
    <t xml:space="preserve">free trade, protectionism, infant industry, dumping, specialisation</t>
  </si>
  <si>
    <t xml:space="preserve">Assess whether the potential benefits of free trade always outweigh the arguments for protectionism.</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</si>
  <si>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Explanation of the potential benefits of free trade:
• Increase in world output.
• Resources are allocated more efficiently as a result of specialisation.
• Production can be at lower cost.
• Consumers can have a wider range of products to choose from.
• There can be a substantial increase in economic growth.
• There can be an improved standard of living.
Explanation of the arguments for protectionism:
• Infant industry argument: infant or sunrise industries are protected to allow them to be able to compete with already established firms.
• Declining or sunset industries: these can be protected to give time for the factors of production to be transferred to alternative uses.
• Strategic industries: these can be protected because of their importance to an economy.
• Current account deficit: protectionism may be used to reduce a deficit.
• Anti-dumping: protection against firms selling at a price below cost.
Level 1 responses will be assertive and lacking in explanations/mainly descriptive and/or mainly lacking in relevance to the question.
Level 2 responses may contain some inaccuracies and may be one sided. Analysis will be explained at least in part and will be largely relevant to the question.
Level 3 responses will consider alternative policies/concepts etc. and will be balanced. Explanations of points raised will be offered and will be accurate and relevant to the question.
Accept all valid responses.
AO3 Evaluation
• Consideration of the relative strength of the two sets of arguments.
• Consideration of who may benefit from free trade and protectionism.
• In conclusion, whether the potential benefits of free trade always outweigh the arguments for protectionism.
Accept all valid responses
AO1 Knowledge and understanding and AO2 Analysis: 8
AO3 Evaluation: 4</t>
  </si>
  <si>
    <t xml:space="preserve">9708_s26_21_Q5b (64%)</t>
  </si>
  <si>
    <t xml:space="preserve">In the second part of the question, candidates were required to assess whether the potential benefits of free trade would always outweigh the arguments for protectionism. Most candidates were able to analyse the relative advantages and disadvantages of free trade and protectionism, but relatively few then went on to offer any meaningful evaluation, such as in terms of the relative strength of the two sets of arguments. Candidates need to remember that although eight marks are allocated to ‘knowledge and understanding’ (AO1) and ‘analysis’ (AO2) in the part (b) questions, four marks are allocated to ‘evaluation’ (AO3).</t>
  </si>
  <si>
    <t xml:space="preserve">9708_s25_21_Q5a</t>
  </si>
  <si>
    <t xml:space="preserve">compare two options; to what extent</t>
  </si>
  <si>
    <t xml:space="preserve">5.2.1, 5.2.2, 5.2.3</t>
  </si>
  <si>
    <t xml:space="preserve">budget surplus, budget deficit, government budget</t>
  </si>
  <si>
    <t xml:space="preserve">Explain the difference between a budget surplus and a budget deficit and consider the extent to which a budget surplus is better than a budget deficit.</t>
  </si>
  <si>
    <t xml:space="preserve">Follow the point-based marking guidance at the top of this mark scheme and award: up to 3 marks for AO1 Knowledge and understanding up to 3 marks for AO2 Analysis up to 2 marks for AO3 Evaluation.
AO1 Knowledge and understanding (max 3 marks)
A knowledge and understanding of a government budget. (1)
A knowledge and understanding of a budget surplus. (1)
A knowledge and understanding of a budget deficit. (1)
AO2 Analysis (max 3 marks)
An analysis of the budget position:
• The benefits and limitations of a budget surplus. (2)
• The benefits and limitations of a budget deficit. (2)
There will be a max mark of 2 if a candidate only considers a budget surplus or a budget deficit, and they will not, in this case, be able to gain any evaluation marks.
Note: The question is NOT about a current account of the balance of payments.
AO3 Evaluation (max 2 marks)
Offers a valid judgement on the extent to which a budget surplus is better than a budget deficit (1) to reach a conclusion. (1)
AO1 Knowledge and understanding: 3
AO2 Analysis: 3
AO3 Evaluation: 2</t>
  </si>
  <si>
    <t xml:space="preserve">In this part of the question, candidates were required to explain the difference between a budget surplus and a budget deficit and then to go on to consider the extent to which a budget surplus was better than a budget deficit. There were some good answers to this question and the majority of candidates clearly understood what was meant by a budget surplus and a budget deficit. Unfortunately, however, a number of candidates misunderstood the meaning of these two terms and instead wrote about a surplus or a deficit in the current account of the balance of payments. Unfortunately, relatively few candidates were able to offer any meaningful evaluation in relation to the extent to which a budget surplus was better than a budget deficit, despite the fact that two marks were allocated to evaluation.</t>
  </si>
  <si>
    <t xml:space="preserve">9708_s25_21_Q5b</t>
  </si>
  <si>
    <t xml:space="preserve">;5.2;4.6;4.5;</t>
  </si>
  <si>
    <t xml:space="preserve">5.2.6, 5.2.7, 5.2.3</t>
  </si>
  <si>
    <t xml:space="preserve">expansionary fiscal policy, aggregate demand, national debt, demand-pull inflation</t>
  </si>
  <si>
    <t xml:space="preserve">Assess whether expansionary fiscal policy always benefits an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</si>
  <si>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Potential advantages of an expansionary fiscal policy:
• Lower taxes/higher government spending will increase AD in an economy.
• Higher AD could lead to lower unemployment.
Potential disadvantages of an expansionary fiscal policy:
• The budget deficit will need to be financed, which will increase the national debt.
• The increase in AD could be inflationary.
Level 1 responses will be assertive and lacking in explanations/mainly descriptive and/or mainly lacking in relevance to the question.
Level 2 responses may contain some inaccuracies and may be one sided. Analysis will be explained at least in part and will be largely relevant to the question.
Level 3 responses will consider alternative policies/concepts etc. and will be balanced. Explanations of points raised will be offered and will be accurate and relevant to the question.
Accept all valid responses.
AO3 Evaluation
• The effect on an economy will depend on the extent of the expansionary fiscal policy.
• A recognition that expansionary fiscal policy can have both advantages and disadvantages.
• In conclusion, whether an expansionary fiscal policy is always beneficial to an economy.
Accept all valid responses.
(Up to 4 marks)
AO1 Knowledge and understanding and AO2 Analysis: 8
AO3 Evaluation: 4</t>
  </si>
  <si>
    <t xml:space="preserve">9708_w24_21_Q4b (56%)</t>
  </si>
  <si>
    <t xml:space="preserve">In the second part of the question, candidates were required to assess whether expansionary fiscal policy would always benefit an economy. There were some good answers to this question, with candidates contrasting the potential advantages, such as an increase in aggregate demand in an economy which could lead to higher economic growth and higher employment, with the potential disadvantages, such as the need for such a policy to be financed which would increase the national debt and the fact that an expansionary fiscal policy would be likely to be inflationary. Unfortunately, relatively few candidates offered an evaluation in terms of whether an expansionary fiscal policy would always benefit an economy.</t>
  </si>
  <si>
    <t xml:space="preserve">9708_s25_22_Q1ai</t>
  </si>
  <si>
    <t xml:space="preserve">unemployment rate, data interpretation</t>
  </si>
  <si>
    <t xml:space="preserve">South Africa – unemployment, the rand and AfCFTA</t>
  </si>
  <si>
    <t xml:space="preserve">Identify the overall change in the unemployment rate in South Africa between January 2020 and October 2022.</t>
  </si>
  <si>
    <t xml:space="preserve">• It increased / rose (1)
Note: do not accept answers that identify a number of changes within these dates, only the overall change between these dates
Guidance: please ignore any correct or incorrect calculation of figures as a calculation is not required by the question. The mark should only be awarded if the candidate identifies that the unemployment rate has increased.</t>
  </si>
  <si>
    <t xml:space="preserve">9708_s23_21_Q1a (61%)</t>
  </si>
  <si>
    <t xml:space="preserve">This was a straightforward question requiring identification of the overall direction of change. A significant number of candidates however, focused unnecessarily on short-term variations, which were not relevant to the demands of the question. Some also attempted calculations which was not required, only the overall change. This suggests that candidates would benefit from closer attention to the precise requirements of the question.</t>
  </si>
  <si>
    <t xml:space="preserve">9708_s25_22_Q1aii</t>
  </si>
  <si>
    <t xml:space="preserve">unemployment trend, data comparison</t>
  </si>
  <si>
    <t xml:space="preserve">Compare the trend in the unemployment rate in South Africa between January 2020 and January 2022 with that between January 2022 and October 2022.</t>
  </si>
  <si>
    <t xml:space="preserve">• It increased in the first period and then fell in the second period (1)
Guidance: The only comparison that should be accepted is a comparison of the overall trend between January 2020 and January 2022 and the overall trend between January 2022 and October 2022. Any reference to other dates is irrelevant and should not be rewarded. Any use of accurate figures must be accompanied by references to an increase followed by a fall</t>
  </si>
  <si>
    <t xml:space="preserve">Candidates were required to identify the overall trend between the specified time periods. A significant minority of responses however, focused on fluctuations within the periods rather than comparing the two trends between the relevant dates meaning no marks could be awarded. Greater attention to the exact wording of the question would help candidates provide more focused and relevant responses. There were, however, many candidates who did gain the mark.</t>
  </si>
  <si>
    <t xml:space="preserve">9708_s25_22_Q1b</t>
  </si>
  <si>
    <t xml:space="preserve">4.5.4</t>
  </si>
  <si>
    <t xml:space="preserve">consequences of unemployment, firms, government</t>
  </si>
  <si>
    <t xml:space="preserve">Identify one possible impact on firms in South Africa and one possible impact on the government of South Africa of such a high rate of unemployment.</t>
  </si>
  <si>
    <t xml:space="preserve">• Firms may find it easier / cheaper to recruit labour / pay lower wages / may suffer weaker demand for their products. (1)
• Government may have reduced tax revenue / higher welfare payments. (1)
Guidance: 1 mark maximum per impact on firms and the government respectively.</t>
  </si>
  <si>
    <t xml:space="preserve">Many candidates suggested that productivity may fall for firms due to unemployment, which is not necessarily true, Similarly, many referred to a fall in GDP being an impact on a government which is more an impact on the overall economy. Neither was accepted. It was however pleasing to see many answers gaining the full 2 marks for this question.</t>
  </si>
  <si>
    <t xml:space="preserve">9708_s25_22_Q1c</t>
  </si>
  <si>
    <t xml:space="preserve">depreciation, current account deficit, PED for exports and imports</t>
  </si>
  <si>
    <t xml:space="preserve">Consider whether continued falls in the value of the South African rand may lead to a reduction in the current account deficit of the balance of payments.</t>
  </si>
  <si>
    <t xml:space="preserve">• Continued falls in the Rand will make exports relatively cheaper (1) and imports relatively more expensive (1).
• This should lead to an increase in demand / sales of exports and / or a fall in demand / sales of imports and / or an increase in the value of net exports or (X-M) and therefore a fall in the current account deficit (1).
• Reserve 1 mark for a valid conclusion example the importance of PED and any other valid eval (Note: MLC should not be expected).</t>
  </si>
  <si>
    <t xml:space="preserve">Candidates showed a strong understanding of how the South African rand’s depreciation affects the current account, noting how cheaper exports and costlier imports can reduce the deficit through changes in their demand. Some still, however continue to confuse trade volume with value. Top answers evaluated the role of price elasticity of demand and highlighted factors like product quality and time delays that influence effectiveness. Overall, many demonstrated solid knowledge and thoughtful evaluation, responding well to the question.</t>
  </si>
  <si>
    <t xml:space="preserve">9708_s25_22_Q1d</t>
  </si>
  <si>
    <t xml:space="preserve">;6.1;4.4;</t>
  </si>
  <si>
    <t xml:space="preserve">6.1.2, 4.4.4</t>
  </si>
  <si>
    <t xml:space="preserve">free trade area, trade liberalisation, economic growth</t>
  </si>
  <si>
    <t xml:space="preserve">Assess the extent to which closer membership of the AfCFTA may help South Africa to achieve the growth needed to ‘escape from its economic difficulties’.</t>
  </si>
  <si>
    <t xml:space="preserve">• Up to 3 marks for an explanation / analysis that examines the benefits of free trade in achieving the growth needed to escape South Africa’s economic difficulties e.g.:
• This will open up additional markets which may lead to export-led growth (1)
• encouraging domestic businesses to be more competitive (1)
• which may lead to lower prices and better products and therefore increase consumption at home and abroad (1) more FDI (1) (Up to 3 marks)
• Up to 3 marks for an explanation / analysis of the drawbacks of free trade in achieving the growth needed to escape South Africa’s economic difficulties e.g.
• Domestic businesses will face increased competition (1)
• Leading to a possible fall in the demand for domestically produced goods (1)
• Leading to increased unemployment (1) and a possible slowdown / fall in economic growth (1)
• Which may lead to a further deficit on the current account (1) (Up to 3 marks).
Note: 4 marks maximum for analysis
• For a balanced evaluation that clearly assesses both sides (1) with a justified conclusion that clearly answers the question. (Reserve 1 mark).</t>
  </si>
  <si>
    <t xml:space="preserve">The question required candidates to assess the extent to which membership of the ACFTA would generate the economic growth necessary for South Africa to overcome its current challenges. Many candidates did not focus sufficiently on the specific demands of the question. Instead, they predominantly described the characteristics of a free trade area and listed potential benefits and costs in a general manner. Successful responses demonstrated detailed analysis of both the positive and negative impacts of ACFTA membership on South Africa’s growth prospects, supported by a balanced evaluation that weighed both advantages and disadvantages. High- scoring answers included a clear and justified conclusion that directly addressed the question set. Candidates are advised to ensure that their evaluation is explicitly linked to the context and that conclusions provide a clear response to the question asked.</t>
  </si>
  <si>
    <t xml:space="preserve">9708_s25_22_Q1e</t>
  </si>
  <si>
    <t xml:space="preserve">;3.3;5.4;4.5;</t>
  </si>
  <si>
    <t xml:space="preserve">3.3.3, 5.4.3, 4.5.4</t>
  </si>
  <si>
    <t xml:space="preserve">income inequality, infrastructure, unemployment policy</t>
  </si>
  <si>
    <t xml:space="preserve">Assess the extent to which the policies suggested to improve infrastructure and to reduce the high rates of unemployment in South Africa are likely to reduce income inequality.</t>
  </si>
  <si>
    <t xml:space="preserve">Policies that may be referred to are all supply side policies and are those which:
• Improve transport links and safeguard electricity supplies.
• Setting an appropriate national minimum wage.
• Strengthening employment protection.
• Improving levels of education and training and school to job transitions.
• Promotion of entrepreneurship.
Up to 3 marks for an explanation / analysis should focus on how such policies may reduce income inequality e.g., by:
• Increasing mobility (due to improved transport links) to take advantage of job opportunities. (1)
• Raising wage levels / protecting jobs (1)
• Making people more employable / able to move into self-employment thus raising income levels. (1)
(Up to 3 marks)
Up to 3 marks for an explanation / analysis of the drawbacks of such policies in reducing income inequality
• Cost of implementation meaning such policies are possibly withdrawn (1)
• Time taken to implement such policies (1)
• Receptiveness of workforce for example, people may not understand the importance of education, may prioritise earning income now etc. (1)
• If the policies simply have the impact of making people who are already earning higher incomes even better off / the benefits are equally shared across all income levels, this will not reduce income inequality.
Note: 4 marks maximum for analysis
For a balanced evaluation that clearly assesses both sides (1) with a justified conclusion that clearly answers the question. (Reserve 1 mark).</t>
  </si>
  <si>
    <t xml:space="preserve">Similar to the previous question, a significant number of candidates did not focus their responses directly on the question posed. The emphasis was often placed on the likelihood of the suggested policies reducing income inequality. However, many candidates primarily discussed the effects of these policies on employment, without clearly linking this to the potential impact on income distribution. Furthermore, evaluation was generally weak or omitted altogether, despite this being a 6-mark question with a clear allocation of 4 marks for analysis and 2 marks for evaluation. This question format has appeared consistently in recent papers, yet many candidates limited themselves to a maximum of 4 marks by failing to engage with the evaluative element. Candidates should take care to include balanced evaluation to maximise their marks.</t>
  </si>
  <si>
    <t xml:space="preserve">9708_s25_22_Q2a</t>
  </si>
  <si>
    <t xml:space="preserve">public goods, free goods, market economy, free-rider problem</t>
  </si>
  <si>
    <t xml:space="preserve">With the help of examples, explain the difference between public goods and free goods and consider whether a market economy can ever produce public goods.</t>
  </si>
  <si>
    <t xml:space="preserve">Follow the point-based marking guidance at the top of this mark scheme and award: up to 3 marks for AO1 Knowledge and understanding up to 3 marks for AO2 Analysis up to 2 marks for AO3 Evaluation.
AO1 Knowledge and Understanding (max 3 marks)
For a clear explanation that free goods are those that are not scarce / have zero opportunity cost / no factors of production are involved in producing them (1) and public goods are those that have the characteristics of non-excludability and non-rivalry (separately explained) (1). For appropriate examples of both types of goods, e.g., fresh air as a free good and national defence as a public good
Note: do not accept examples such as roads, education or health services or explanations that public goods are simply those provided by a government (1)
AO2 Analysis (max 3 marks)
The characteristics of public goods make it easy for consumers to not pay for goods and services making it difficult for firms to charge a price / recognition of the free rider problem (1) meaning that people can enjoy the benefits without paying for it / firms are unable to make a profit (1) meaning that a market economy is unlikely to provide them (1).
AO3 Evaluation (max 2 marks)
Unless there is some method of effectively charging consumers by making public goods excludable OR receiving e.g., a subsidy from the government to produce them OR businesses are genuinely motivated to act in the interests of the public, (1) it is unlikely that a market economy could ever produce public goods (1).
AO1 Knowledge and understanding: 3
AO2 Analysis: 3
AO3 Evaluation: 2</t>
  </si>
  <si>
    <t xml:space="preserve">9708_w23_22_Q3a (69%), 9708_s24_21_Q2a (81%), 9708_w24_23_Q2a (63%), 9708_w25_21_Q3a (56%), 9708_s26_21_Q2a (64%), 9708_s26_23_Q3a (62%)</t>
  </si>
  <si>
    <t xml:space="preserve">Some candidates encountered difficulties in accurately and clearly explaining the concepts of non- excludability and non-rivalry. Often, the difference was indistinct leaving the Examiner to try and work out which explanation should be applied to which concept meaning marks were often lost There was also notable confusion between public goods and government-provided private merit goods and services. For example, education, healthcare and roads are not public goods even if they are provided by the government. In contrast, free goods were generally better understood and explained. Where candidates struggled to demonstrate full knowledge and understanding, clear explanations regarding the reasons for the lack of private sector provision often helped to secure some credit. However, most responses showed limited or no engagement with evaluation related to the extent to which a market economy can ever produce public goods, resulting in missed opportunities to earn higher marks through a well-reasoned judgment.</t>
  </si>
  <si>
    <t xml:space="preserve">9708_s25_22_Q2b</t>
  </si>
  <si>
    <t xml:space="preserve">;3.1;3.2;1.6;</t>
  </si>
  <si>
    <t xml:space="preserve">3.1.2, 3.2.1, 3.2.2, 3.2.6, 1.6.3, 1.6.4</t>
  </si>
  <si>
    <t xml:space="preserve">merit goods, demerit goods, taxes, subsidies, information</t>
  </si>
  <si>
    <t xml:space="preserve">Assess the extent to which a government can ensure that both merit and demerit goods are produced in desirable quantities.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</si>
  <si>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Merit goods are those considered desirable by society but are under consumed and therefore the quantity of consumption and production should be encouraged whereas demerit goods are those considered undesirable by society but are over consumed and therefore the quantity of consumption and production should be discouraged.
Analysis should focus on the extent to which this is achievable. For example:
• Use of subsidies / maximum prices / taxation / minimum prices.
• Direct provision of merit goods.
• Providing information on the benefits of merit goods / drawbacks of demerit goods.
Considering the problems, for example:
• PED together with the receptiveness of consumers e.g., towards consuming more merit goods / fewer demerit goods.
• The drawbacks of policies of minimum prices and maximum prices explained including costs of enforcement.
• The cost (including opportunity cost) of provision of merit goods.
• Receptiveness of consumers towards more information provision and thus its effectiveness compared to its cost.
Level 1 responses will be assertive and lacking in explanations / mainly descriptive and/or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That clearly analyses and compares both the extent of how both are achievable together with the associated problems and comes to a valid conclusion to answer the question.
A one-sided response cannot gain any marks for evaluation.
AO1 Knowledge and understanding and AO2 Analysis: 8
AO3 Evaluation: 4</t>
  </si>
  <si>
    <t xml:space="preserve">Many candidates provided detailed explanations of merit and demerit goods, and the government interventions used to correct market failures. These included subsidies, taxes, regulation, and information provision, with clear analysis of their intended effects. The main problem however was that too many answers focused on consumption (which has been a question asked in previous series) rather than production required for this question which did limit the marks that could be awarded, Also, many candidates still do not include an evaluative judgment in their answers and limit this to summative statements or phrases often beginning with, ‘it depends upon’. Without a balanced conclusion considering the effectiveness or limitations of these policies, candidates missed out on valuable marks. Evaluation is essential to demonstrate critical thinking and to fully address the question. Candidates are encouraged to develop reasoned judgments considering the strengths and weaknesses of all arguments to enhance the quality of their responses.</t>
  </si>
  <si>
    <t xml:space="preserve">9708_s25_22_Q3a</t>
  </si>
  <si>
    <t xml:space="preserve">;2.1;3.2;</t>
  </si>
  <si>
    <t xml:space="preserve">2.1.4, 2.1.6, 3.2.2</t>
  </si>
  <si>
    <t xml:space="preserve">determinants of supply, costs of production, subsidy, supply shift</t>
  </si>
  <si>
    <t xml:space="preserve">Explain three reasons, associated with costs of production, why the supply curve for a particular market may shift to the right and consider the extent to which government microeconomic policy may also shift the supply curve for a particular market to the right.</t>
  </si>
  <si>
    <t xml:space="preserve">Follow the point-based marking guidance at the top of this mark scheme and award: up to 3 marks for AO1 Knowledge and understanding up to 3 marks for AO2 Analysis up to 2 marks for AO3 Evaluation.
AO1 Knowledge and Understanding (max 3 marks)
For an explanation of e.g., a fall in wage rates, an increase in worker productivity, a fall in raw material costs, a fall in costs of distribution, improvements in technology etc. explaining why they may shift the supply curve to the right (1  3).
AO2 Analysis (max 3 marks)
Guidance:
The effect depends on the government policy used however it must be targeted at a particular market. Government microeconomic policy may include indirect taxes, subsidies, maximum and minimum prices, direct provision, regulations, provision of information and buffer stock schemes. Candidates should analyse at least one of these policies to consider the extent to which it may shift the supply curve for a particular market to the right.
For example, the government may intervene by providing subsidies to education providers (1) which may increase the supply of education to the market and shift the supply curve to the right (1) however, the extent to which this will occur will depend on e.g., the size of the subsidy, the extent to which the provider uses the subsidy in the manner intended, the PED value (1). It may also depend on whether the government also puts regulations in place which limit the supply of education by providers (1).
Note: up to 2 marks for explaining the effect of the policy itself, and 1 mark for the extent to which it might shift the supply curve to the right.
AO3 Evaluation (max 2 marks)
The extent to which the discussed policy will shift the supply curve to the right for a particular market will depend upon the responsiveness of the market itself. It may also depend on how the market may be affected by other government microeconomic policies. Allow any response based on valid analysis.
Note: reserve 1 mark for a justified conclusion.
AO1 Knowledge and understanding: 3
AO2 Analysis: 3
AO3 Evaluation: 2
3(</t>
  </si>
  <si>
    <t xml:space="preserve">This was the least popular question in section B. Those candidates who attempted this question generally demonstrated a good understanding of the factors that can cause a rightward shift in the supply curve. However, fewer were able to effectively explain the role of government intervention in influencing supply. A common weakness across responses was the lack of evaluation; most candidates offered limited or no consideration of the effectiveness or potential drawbacks of government involvement. To improve, candidates should ensure their answers include a balanced and reasoned judgment, thereby maximising their ability to access higher marks.</t>
  </si>
  <si>
    <t xml:space="preserve">9708_s25_22_Q3b</t>
  </si>
  <si>
    <t xml:space="preserve">PES, PED, YED, business decisions</t>
  </si>
  <si>
    <t xml:space="preserve">Assess the extent to which knowledge of a product’s price elasticity of supply is the most useful measure of elasticity to a firm needing to react quickly to changes in its market.</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</si>
  <si>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 analysis of the usefulness of using PES that considers the strengths and weaknesses of the approach. For example, it lets the business know how quickly it can react to changes in price, but this may be of little use if production times are slow or it is not possible to hold stocks e.g., if perishable.
• This needs to be compared with the usefulness of another measure of elasticity but must be in the context of a business needing to react quickly to changes in the market. E.g., YED may be useful in a recession, but this may depend on the ability to switch to inferior goods.
Level 1 responses will be assertive and lacking in explanations / mainly descriptive and / 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That clearly analyses at least two sides to the question and comes to a valid conclusion.
A one-sided response cannot gain any marks for evaluation.
Accept all valid responses
AO1 Knowledge and understanding and AO2 Analysis: 8
AO3 Evaluation: 4</t>
  </si>
  <si>
    <t xml:space="preserve">9708_s24_21_Q3b (58%)</t>
  </si>
  <si>
    <t xml:space="preserve">Answers to this question were generally not strong considering that questions of this type frequently appear. Although knowledge and understanding of the various elasticity measures is important to underpin analysis, too many candidates continue to adopt an ‘all I know about elasticity’ whether it be PES, PED, YED or XED rather than attempting to answer the question set. This question was not asking candidates to explain the detailed nuances of elastic and inelastic supply but rather how a firm would use the measurement if needing to react quickly to changes in the market. Part of this analysis would also be how firms could use knowledge of PES to plan for possible changes in the future. Similar analysis needed to be carried out for at least one other measurement of elasticity. Many answers were purely descriptive or assertive which led to some very low marks and hardly any evaluation. The few answers that did genuinely attempt some analysis of the usefulness of PES with at least one other measurement were well rewarded.</t>
  </si>
  <si>
    <t xml:space="preserve">9708_s25_22_Q4a</t>
  </si>
  <si>
    <t xml:space="preserve">deflation, AD/AS, demand-side cause, supply-side cause</t>
  </si>
  <si>
    <t xml:space="preserve">With the help of an AD/AS diagram(s), explain one demand-side and one supply-side cause of deflation and consider which is likely to be more damaging to an economy.</t>
  </si>
  <si>
    <t xml:space="preserve">Follow the point-based marking guidance at the top of this mark scheme and award: up to 3 marks for AO1 Knowledge and understanding up to 3 marks for AO2 Analysis up to 2 marks for AO3 Evaluation.
AO1 Knowledge and Understanding (max 3 marks)
For an understanding of what is meant by deflation (1) An accurate AD / AS diagram showing a fall in the general price level due to a left shift in the AD curve (1). An accurate AD / AS diagram showing a fall in the general price level due to a right shift in the AS curve (1).
Note: no further explanations are required.
AO2 Analysis (max 3 marks)
As indicated by the diagram, a fall in AD is also associated with a fall in GDP and employment levels. Analysis should focus on why this may be considered damaging to an economy. For example, this may lead to a fall in economic growth / a recession (1) which may lead to a rise in unemployment (1) (up to 2 marks). On the other hand, the rightward shift in AS will lead to an increase in GDP and employment and why this may be considered beneficial to an economy. For example, this may lead to an increase in economic growth (1) resulting in more people being employed (1), It may also reduce inflationary pressure (1), (up to 2 marks).
Note: 3 marks maximum overall
AO3 Evaluation (max 2 marks)
That clearly considers both causes and assesses how damaging they are to an economy.
Note: reserve 1 mark for a valid conclusion.
AO1 Knowledge and understanding: 3
AO2 Analysis: 3
AO3 Evaluation: 2</t>
  </si>
  <si>
    <t xml:space="preserve">9708_s23_21_Q4a (64%)</t>
  </si>
  <si>
    <t xml:space="preserve">This question required candidates to use an AD/AS diagram to first explain deflation and then its causes and then whether a demand side or a supply side cause was the most damaging. Most were able to define deflation reasonably accurately although some confused it with disinflation. Some simply stated it was the opposite of inflation or negative inflation but without explaining what inflation was in terms of the general price level so could not be credited. A demand side cause using AD/AS analysis is simply a sift to the left of the AD curve whist a supply side cause is a shift to the right of the AS curve. Further elaboration was unnecessary. Most gained the 3 marks on offer although marks were occasionally lost by inaccurately labelled diagrams which were often micro based. The potential damage or otherwise could be ascertained by examining the impact on real GDP shown on the diagram and the subsequent impact on employment levels and judgements as to which was the most damaging could be made. Whilst there were many good and sometimes full mark answers, marks were sometimes lost by failing to evaluate at all despite sound analysis or confusion about what deflation was and/or the effects of a fall in AD and a rise in AS on the wider economy.</t>
  </si>
  <si>
    <t xml:space="preserve">9708_s25_22_Q4b</t>
  </si>
  <si>
    <t xml:space="preserve">;5.2;4.6;5.3;</t>
  </si>
  <si>
    <t xml:space="preserve">5.2.6, 5.2.7, 5.3.4</t>
  </si>
  <si>
    <t xml:space="preserve">contractionary fiscal policy, inflation, monetary alternative</t>
  </si>
  <si>
    <t xml:space="preserve">Assess the extent to which using fiscal policy would be the best way to reduce a high rate of inflation.</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</si>
  <si>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Use of fiscal policy will involve increasing levels of taxation and reducing government spending. The advantages include the fact that it is relatively quick and can be effective particularly if dealing with demand-pull inflation. However, it will reduce economic growth and may lead to unemployment, It will also be less effective if the main cause is cost-push inflation.
These advantages and disadvantages must be analysed against an alternative policy or policies. These are likely to be supply-side or monetary policies. The analysis should focus on their likely success in reducing a high rather than low / sustainable rate of inflation.
Level 1 responses will be assertive and lacking in explanations / mainly descriptive and / 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That clearly compares the analysis of using fiscal policy with using at least one other policy and reaches a justified conclusion as to which is the best way.
A one-sided response cannot gain any marks for evaluation.
Accept all valid responses.
AO1 Knowledge and understanding and AO2 Analysis: 8
AO3 Evaluation: 4</t>
  </si>
  <si>
    <t xml:space="preserve">Most candidates demonstrated a reasonable understanding of fiscal policy and its role in reducing a high level of inflation. However, many limited their responses by assessing the question from a perspective of whether the inflation rate is high or low despite the question specifying a high rate. This approach generally meant analysis could not get beyond Level 2 even when fully explained. Candidates who were more focused on the question and analysed a broader range of alternative policies easily gained Level 3 marks. Furthermore, a significant number of candidates did not include a final evaluative judgment in their answers, which restricted their overall scores. Far too often, evaluation is presented simply as a summary of previous statements rather than an attempt to actually compare the strengths and weaknesses of the competing arguments. To improve, candidates should aim to provide a balanced conclusion that weighs the effectiveness and limitations of the policies discussed, thereby maximising their marks.</t>
  </si>
  <si>
    <t xml:space="preserve">9708_s25_22_Q5a</t>
  </si>
  <si>
    <t xml:space="preserve">6.4.4, 6.4.2</t>
  </si>
  <si>
    <t xml:space="preserve">floating exchange rate, balance of trade, interest rates, currency demand</t>
  </si>
  <si>
    <t xml:space="preserve">With the help of a diagram, explain two ways in which a fall in the balance of trade in goods may affect the value of a floating exchange rate and consider the extent to which a change in the relative rate of interest between two countries may have a greater impact on the exchange rate.</t>
  </si>
  <si>
    <t xml:space="preserve">Follow the point-based marking guidance at the top of this mark scheme and award: up to 3 marks for AO1 Knowledge and understanding up to 3 marks for AO2 Analysis up to 2 marks for AO3 Evaluation.
AO1 Knowledge and Understanding (max 3 marks)
A fully labelled diagram (1) showing and explaining that, as a result of an increase in the demand for imports this may increase the supply of currency and therefore lead to a fall in the price of the currency (1) and for showing and explaining that a fall in the demand for exports may reduce the demand for the currency and therefore lead to a fall in the price of the currency (1).
AO2 Analysis (max 3 marks)
Analysis that assesses the impact of changes in the relative interest rates on the demand and supply of the currency due to e.g., hot money flows for example, as the relative rate of interest increases in one country this may mean more overseas’ residents want to move their savings to that country (1) increasing demand for the currency and increasing the exchange rate (1) however the extent will depend on factors such as stability / confidence in that country (1) and the influence of other factors affecting the exchange rate (1) (up to 3 marks)
AO3 Evaluation (max 2 marks)
An assessment of the extent to which changes in the relative rates of interest may have a greater effect on a floating exchange rate than a fall in the balance of trade in goods (1) leading to an overall conclusion (1)
AO1 Knowledge and understanding: 3
AO2 Analysis: 3
AO3 Evaluation: 2</t>
  </si>
  <si>
    <t xml:space="preserve">Question 5 was easily the least popular question on the paper with only 21 per cent of all candidates attempting it. A significant number of candidates did not include the required diagram, which immediately restricted their ability to gain higher marks. Furthermore, many showed a limited or incorrect understanding of the effect of relative interest rates on exchange rate movements. Consequently, very few candidates offered any form of evaluation or balanced judgment in their responses. Candidates should be reminded of the importance of following all question instructions and developing evaluative points to enhance the quality and depth of their answers.</t>
  </si>
  <si>
    <t xml:space="preserve">9708_s25_22_Q5b</t>
  </si>
  <si>
    <t xml:space="preserve">terms of trade, current account surplus</t>
  </si>
  <si>
    <t xml:space="preserve">Assess whether an improvement in the terms of trade or a surplus on the current account of the balance of payments is of more benefit to an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</si>
  <si>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Analysis of the benefits of a positive terms of trade may include the ability to purchase more imports and therefore boost living standards. It may also strengthen the reputation / provide reassurance of the stability of the country in question and lead to a rise in FDI. However, it may arise from inflation and not be linked to greater competitiveness. It may lead to a current account deficit if exports fall.
• Analysis of the benefits of a current account surplus may include economic growth and a rise in employment. Again, it may lead to a strengthening of the reputation / provide reassurance of the stability of the country in question. However, it may be the result of obtaining growth through exports leaving little for the domestic population and hence a fall in living standards. It may also be inflationary.
Level 1 responses will be assertive and lacking in explanations / mainly descriptive and / 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For a clear comparison of the analysis of the benefits and drawbacks of both scenarios leading to a justified conclusion.
A one-sided response cannot gain any marks for evaluation.
Accept all valid responses.
AO1 Knowledge and understanding and AO2 Analysis: 8
AO3 Evaluation: 4</t>
  </si>
  <si>
    <t xml:space="preserve">Very few candidates were able to clearly explain the concept of terms of trade and often confused it with balance of trade or trade agreements. This severely limited their potential to achieve marks beyond Level 1. While some candidates could explain what constitutes a current account surplus, this had little impact on their overall performance. The absence of a clear understanding of terms of trade made it difficult for them to develop any meaningful judgment or evaluation. Candidates are encouraged to ensure they grasp key concepts fully, as this is essential for producing coherent and well-argued responses.</t>
  </si>
  <si>
    <t xml:space="preserve">9708_s25_23_Q1a</t>
  </si>
  <si>
    <t xml:space="preserve">supply shift, equilibrium price, natural disaster</t>
  </si>
  <si>
    <t xml:space="preserve">Philippines – onion prices</t>
  </si>
  <si>
    <t xml:space="preserve">Use a demand and supply diagram to demonstrate how ‘a series of typhoons’ affected the market price of food crops in Southeast Asia in January 2023.</t>
  </si>
  <si>
    <t xml:space="preserve">• An accurate/fully labelled supply and demand diagram showing a shift to the left of the supply curve (1)
• New equilibrium showing higher equilibrium price and lower equilibrium quantity (1)</t>
  </si>
  <si>
    <t xml:space="preserve">The majority of candidates responded well to this question, successfully presenting fully labelled and accurate diagrams illustrating a leftward shift in the supply curve for food crops in Southeast Asia. However, a considerable proportion of candidates included written explanations alongside their diagrams. As the question did not require such narrative responses, this was unnecessary. Candidates are reminded of the importance of adhering to the command words used in questions. A comprehensive list of these command words, along with guidance on their interpretation, is provided in the syllabus.</t>
  </si>
  <si>
    <t xml:space="preserve">9708_s25_23_Q1b</t>
  </si>
  <si>
    <t xml:space="preserve">PES, short run, agricultural supply</t>
  </si>
  <si>
    <t xml:space="preserve">Is the short-run price elasticity of supply of red onions elastic or inelastic? Justify your answer.</t>
  </si>
  <si>
    <t xml:space="preserve">• Inelastic (1) (accept perfectly inelastic)
• Reference to the typhoons in Southeast Asia meaning that supply is volatile/unpredictable. The candidate may refer to the nature of agricultural goods means that you cannot simply grow additional red onions.
• The explanation must refer to how it affects the responsiveness of supply (1)
If a candidate refers to the PES being price elastic, then this can be accepted but only if the development is linked to the illegal importation and storage of red onions.</t>
  </si>
  <si>
    <t xml:space="preserve">9708_w24_23_Q1b (66%)</t>
  </si>
  <si>
    <t xml:space="preserve">This question proved more challenging than anticipated. While many candidates demonstrated an understanding of the time lags between planting and the eventual increase in the supply of food crops, a substantial number incorrectly asserted that the price elasticity of supply (PES) for food crops would be price elastic. Furthermore, only a minority of candidates correctly addressed the requirement to justify their answer by explaining the rate at which supply would respond to a change in price. Instead, many relied on a general explanation of the law of supply, which did not fully meet the demands of the question.</t>
  </si>
  <si>
    <t xml:space="preserve">9708_s25_23_Q1c</t>
  </si>
  <si>
    <t xml:space="preserve">With the help of a production possibility curve (PPC) diagram, consider the impact on the opportunity cost to a farmer in the Philippines of starting to grow red onions.</t>
  </si>
  <si>
    <t xml:space="preserve">• Correctly labelled axes (one must be red onions) PPC diagram that touches both axes. Either straight line or concave. (1)
• An initial production combination showing all resources are used to produce the ‘other good’ with zero ‘onions being produced (1).
• A second production combination showing increased output of ‘onions’ and reduced output of the ‘other good’ (1)
Max of one mark for the analysis if the initial production choice is not at a starting point of zero red onions.
For valid evaluation
• For example – the opportunity cost will rise the greater the volume of red onions are produced. (1).
• Other relevant comments may refer to size of the opportunity cost will depend on the shape of the PPC curve.</t>
  </si>
  <si>
    <t xml:space="preserve">9708_s22_23_Q1d (67%), 9708_s25_21_Q2a (56%)</t>
  </si>
  <si>
    <t xml:space="preserve">This question required candidates to use a production possibility curve (PPC) diagram to assess the opportunity cost associated with the decision to begin producing red onions. It was therefore disappointing that a significant number of candidates, while able to draw a correctly shaped PPC, failed to identify that the initial production point should reflect zero red onion output. The question required candidates to show an increase in red onion production accompanied by a reduction in the output of the alternative good, thereby illustrating increased opportunity cost. Many responses simply presented a PPC with an inaccurate or arbitrary starting point. Additionally, as highlighted in previous reports, the 4-mark ‘consider’ command word requires some degree of evaluation, which was again rarely evident in candidate responses.</t>
  </si>
  <si>
    <t xml:space="preserve">9708_s25_23_Q1d</t>
  </si>
  <si>
    <t xml:space="preserve">3.2.4, 3.2.5, 3.1.3</t>
  </si>
  <si>
    <t xml:space="preserve">maximum price, price stabilisation, buffer stocks, imports</t>
  </si>
  <si>
    <t xml:space="preserve">Assess whether a ‘suggested retail price’ is the best way of stabilising onion prices in the Philippines.</t>
  </si>
  <si>
    <t xml:space="preserve">Up to 3 marks maximum for the benefits and disadvantages of a maximum price. for each perspective.
• A maximum price (price ceiling) set below the equilibrium price can stop sellers from charging excessively high prices when supply is limited, especially during harvest failures or supply chain disruptions.
• By capping prices, the government can ensure red onions remain affordable for lower-income households, stabilising demand and avoiding volatile consumer reactions to price spikes.
• A legal price cap can reduce incentives for traders to hoard onions and sell them later at inflated prices, helping to keep the market stable.
• It provides confidence to the public that the government is actively managing food inflation, which can stabilise expectations and reduce panic buying or price-driven speculation.
However
• If the maximum price is set below the market equilibrium, quantity demanded exceeds quantity supplied. This can lead to persistent shortages and long queues for red onions.
• Suppliers may sell onions illegally at higher prices (above the ceiling) to profit from the excess demand, reducing the effectiveness of the price control.
• Farmers may cut back on onion production if they cannot cover their costs or earn a reasonable profit at the capped price, worsening long- term supply.
• Monitoring and enforcing the maximum price requires government resources. Without proper enforcement, the policy may fail to stabilise prices effectively.
If only the benefits OR problems of a maximum price are considered, then a maximum of 2 marks.
Up to 3 marks of at least one alternative policy to stabilise onions prices in the Philippines.
• The government can provide subsidies to onion producers to lower their production costs, thereby increasing and helping meet demand at a lower price without the need for a price cap.
• A buffer stock scheme could be introduced where excess stocks of onions could be bought during times of surplus and released during times of shortages.
• The temporary removal of tariffs or controlled imports during periods of shortages,
• Promotion of investment in irrigation, storage and distribution networks to reduce production and post-harvest losses.
If only the benefits OR problems of an alternatively policy are considered, then a maximum of 2 marks
Up to 2 marks for evaluation
• That clearly considers whether or not ‘a suggested retail price’ is the best way of stabilising onion prices in the Philippines when compared to an alternative policy.
• Comes to a reasoned conclusion. (reserve 1 mark)
No mark for evaluation can be awarded unless the candidate has considered the benefits and disadvantages of a maximum price and an alternative.</t>
  </si>
  <si>
    <t xml:space="preserve">Candidates generally showed a good understanding of the suggested retail price (SRP), clearly explaining its potential to stabilise onion prices through affordability and reduced volatility, as well as drawbacks such as shortages or black markets. However, many responses lacked full evaluation. A common weakness was the failure to consider an alternative method of price stabilisation, such as subsidies or buffer stocks. Even when alternatives were mentioned, few candidates compared them directly with SRP or addressed whether SRP was the most effective option. Evaluation is a key requirement in questions that ask whether a method is the best. Without comparing options and reaching a supported judgement, candidates are unlikely to gain access to the higher-level evaluation marks.</t>
  </si>
  <si>
    <t xml:space="preserve">9708_s25_23_Q1e</t>
  </si>
  <si>
    <t xml:space="preserve">2.2.6, 3.3.3, 4.6.5</t>
  </si>
  <si>
    <t xml:space="preserve">PED, proportion of income, low-income households, necessities</t>
  </si>
  <si>
    <t xml:space="preserve">Assess the extent to which the increase in onion prices is likely to have affected all households equally in the Philippines.</t>
  </si>
  <si>
    <t xml:space="preserve">Up to 3 marks for explanation/analysis of why the increase in onion price is likely to have affected all households equally in the Philippines.
• Onions are widely used in Filipino cooking across all income groups, so a price increase impacts the food costs of most households.
• Since onions are a basic necessity with few close substitutes (i.e. demand is price inelastic), all households tend to keep buying similar quantities despite price rises, spreading the impact evenly.
• Onions may be sold at similar prices across markets, so households across different regions face similar price increases.
• Due to cultural preferences and cooking practices, most households cannot easily switch to other ingredients, so they all experience the price rise similarly.
Up to 3 marks for explanation/analysis of why the increase in onion price is unlikely to have affected all households equally in the Philippines.
• Lower-income households spend a higher proportion of their income on basic food items like onions, so a price rise hits their budgets harder than wealthier households.
• Not all households consume the same quantity of onions. Some may rely heavily on onions in daily cooking, while others use them less, affecting the impact of the price increase.
• Wealthier households might afford substitutes or alternatives (e.g., other vegetables or flavorings), lessening the effect of onion price increases on their overall food costs.
• Households in rural farming areas might grow their own onions or buy at lower prices, while urban households depend on market purchases, so the price increase affects urban consumers more.
Up to 3 marks maximum for each perspective, with an overall maximum of 4 marks.
Up to 2 marks for evaluation
• That clearly considers both viewpoints. For example, although the price rise affects everyone, its burden is not distributed evenly across the Philippines.
• Comes to a reasoned conclusion as to whether the price rise affects all households equally (reserve 1 mark)
No mark for evaluation can be awarded if only advantages or disadvantages are considered.</t>
  </si>
  <si>
    <t xml:space="preserve">Many candidates responded well to the question, offering relevant analysis of whether the increase in onion prices affected all households equally in the Philippines. Most recognised that the impact would vary, particularly based on income levels. The majority of responses were stronger when arguing that the effect would not be equal. Candidates commonly explained that onions make up a larger proportion of spending for low-income households, meaning price rises would have a greater impact on them. This reasoning was often well developed. However, fewer candidates considered the opposite view, such as the limited effect on higher-income households or potential substitutes. As a result, evaluation was sometimes underdeveloped.</t>
  </si>
  <si>
    <t xml:space="preserve">9708_s25_23_Q2a</t>
  </si>
  <si>
    <t xml:space="preserve">;2.3;2.4;</t>
  </si>
  <si>
    <t xml:space="preserve">2.3.1, 2.3.3, 2.3.5, 2.4.3</t>
  </si>
  <si>
    <t xml:space="preserve">PES, short run vs long run, derived demand, semi-conductors</t>
  </si>
  <si>
    <t xml:space="preserve">Semi-conductors are widely used in the production of many types of electronic goods such as smartphones. It has been estimated that the price elasticity of supply for semi-conductors is 0.2 in the short run and 0.8 in the long run. Explain what these estimates mean for producers of smartphones that use semi-conductors and consider the significance of the long-run estimate.</t>
  </si>
  <si>
    <t xml:space="preserve">Follow the point-based marking guidance at the top of this mark scheme and award: up to 3 marks for AO1 Knowledge and understanding up to 3 marks for AO2 Analysis up to 2 marks for AO3 Evaluation.
AO1 Knowledge and Understanding (max 3 marks)
Meaning of price elasticity of supply (1) an accurate formula (1) an explanation of what is meant by price inelastic supply based on an increase in price leading to a proportionately smaller increase in quantity supplied. (1).
AO2 Analysis (max 3 marks)
Analysis of why the values may differ due to e.g., the time period, level of stock, changes in the production process etc. Up to 2 marks for each reason explained. Maximum of 3 marks overall.
AO3 Evaluation (max 2 marks)
An assessment of the significance of the long run estimate – e.g. possible shortages in the production of goods that require semi-conductors (1); investment into improving supply chains (1); investment into expanding capacity (1).
AO1 Knowledge and understanding: 3
AO2 Analysis: 3
AO3 Evaluation: 2</t>
  </si>
  <si>
    <t xml:space="preserve">This question was the least popular in Section B, with relatively few candidates attempting it. Many were able to correctly define price elasticity of supply (PES), often showing the correct formula and explaining what it means for supply to be price inelastic, particularly referring to the short-run estimate of 0.2. However, a disappointing number of students did not develop their answers to explain why the PES differed between the short run and the long run – as a result, they failed to discuss the significance of the higher long-run estimate of 0.8 for smartphone producers. Stronger responses linked the difference to factors such as limited production capacity in the short run and greater ability to increase supply through investment in the long run, showing how this affects the availability and cost of semi-conductors for smartphone manufacturers. Without this development, many answers lacked the necessary depth to fully address the question.</t>
  </si>
  <si>
    <t xml:space="preserve">9708_s25_23_Q2b</t>
  </si>
  <si>
    <t xml:space="preserve">;2.4;2.3;1.4;</t>
  </si>
  <si>
    <t xml:space="preserve">2.4.2, 2.4.4, 2.3.5, 1.4.2</t>
  </si>
  <si>
    <t xml:space="preserve">resource allocation, price mechanism, signalling, incentive, PES</t>
  </si>
  <si>
    <t xml:space="preserve">Assess the likely effects on resource allocation of a continuing increase in demand for semi-conductors.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</si>
  <si>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 analysis of the impact of continuing increases in the demand for semi- conductors. For example, the rationing function of the price mechanism will result in rising prices for the semi-conductors to remove the excess demand; the incentive function – rising prices will encourage producers to investigate ways to increase production levels; the signaling function – rising prices may encourage more firms to enter the market.
• However, the effects on resource allocation may depend on the availability of silicon, the costs of extraction, time lags and government legislation to limit environmental damage.
• Accept any other reasonable analysis of the effects on resource allocation – e.g. a PPC approach where producers are likely to increase the allocation of scarce resources for semi-conductor production – thereby creating an opportunity cost in terms of potential output of “other goods.” In addition, accept a correct analysis based on it may depend on the type of economy in question.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That clearly analyses at both sides of the question and comes to a valid conclusion.
A one-sided response cannot gain any marks for evaluation. Please use a text box to show the levels applied and mark split e.g., L3 6 L1 2
AO1 Knowledge and understanding and AO2 Analysis: 8
AO3 Evaluation: 4</t>
  </si>
  <si>
    <t xml:space="preserve">Many candidates demonstrated a solid understanding of how a continuing increase in demand for semi-conductors influences resource allocation by effectively explaining the rationing, incentive, and signalling functions of the price mechanism. They showed how rising prices alleviate excess demand, encourage higher production levels, and attract new firms to the market. Some responses applied the production possibility curve to illustrate the opportunity cost of reallocating scarce resources towards semi-conductor production. Stronger answers also acknowledged constraints such as the limited availability of silicon, extraction costs, time lags, environmental legislation, and variations across different economic systems. In contrast, weaker answers often focused solely on describing the demand increase without adequately linking it to resource allocation or addressing key issues like supply limitations, factor mobility, and potential environmental impacts, resulting in limited analysis. Candidates should be reminded that to earn the 4 evaluation marks, it is essential to address both sides of the argument, as responses presenting only one-sided analysis cannot be awarded evaluation marks.</t>
  </si>
  <si>
    <t xml:space="preserve">9708_s25_23_Q3a</t>
  </si>
  <si>
    <t xml:space="preserve">;1.6;3.2;3.1;</t>
  </si>
  <si>
    <t xml:space="preserve">1.6.3, 3.2.3, 3.1.2</t>
  </si>
  <si>
    <t xml:space="preserve">merit good, imperfect information, direct provision, healthcare</t>
  </si>
  <si>
    <t xml:space="preserve">Explain what is meant by a merit good and why governments provide merit goods such as healthcare free of charge and consider why such provision may not always be successful.</t>
  </si>
  <si>
    <t xml:space="preserve">Follow the point-based marking guidance at the top of this mark scheme and award: up to 3 marks for AO1 Knowledge and understanding up to 3 marks for AO2 Analysis up to 2 marks for AO3 Evaluation.
AO1 Knowledge and Understanding (max 3 marks)
A merit good is thought to be desirable but is underprovided/underconsumed (1) due to information failure/a lack of awareness/better than is realised (1) By providing healthcare free of charge, the government encourages greater consumption and improves overall welfare (1).
AO2 Analysis (max 3 marks)
For example, an explanation that some healthcare services, such as vaccinations, act as public goods because they are non-excludable and non- rival meaning that they will not be provided by the private sector (1). Governments provide them to prevent under-provision and protect overall public health (1); Government provision removes financial barriers, ensuring fair access and reducing inequality (1).
AO3 Evaluation (max 2 marks)
• Up to 2 marks for evaluating whether or not government provision of healthcare free of charge may not always be successful. For example, if individuals continue not to see the benefits of healthcare, then providing it free of charge may not see an increase in its consumption (1); time, travel or waiting costs may discourage people from using free healthcare services despite no direct charge (1).
AO1 Knowledge and understanding: 3
AO2 Analysis: 3
AO3 Evaluation: 2</t>
  </si>
  <si>
    <t xml:space="preserve">This was by far the most popular question in Section B. Most candidates were able to define merit goods and explain why healthcare tended to be underprovided in a market economy. Better responses recognised that healthcare has wider benefits for the economy creating a need for government intervention. The strongest answers explained that simply providing healthcare free of charge is not always enough; without improved information or timely access, underconsumption of healthcare may persist. They often discussed issues like information asymmetry and long waiting times. Weaker responses were more general and lacked economic analysis, often stating that ‘governments provide merit goods to help people’ without explaining why the market fails or why provision may be unsuccessful. Many overlooked that free healthcare provision by itself may not overcome challenges like lack of information or delays in accessing services.</t>
  </si>
  <si>
    <t xml:space="preserve">9708_s25_23_Q3b</t>
  </si>
  <si>
    <t xml:space="preserve">user charges, free provision, rationing, equity, healthcare</t>
  </si>
  <si>
    <t xml:space="preserve">Assess whether a charge made for healthcare at the point of use is likely to be more beneficial to consumers and providers than if healthcare is available to all free of charge.</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</si>
  <si>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Analysis should focus on the extent to which this is beneficial to consumers and providers. For example charging a fee:
• Discourages unnecessary or excessive use of healthcare services, helping to prevent resource wastage and long waiting times.
• Generates funds that can be reinvested into improving healthcare quality and infrastructure, benefiting both consumers and providers in the long term
• Reduces the financial strain on government budgets, allowing funds to be allocated to other public services or targeted subsidies for those in genuine need
Considering the problems, for example charging fees:
• Increase inequality in access as charging fees is likely to disproportionately affect low-income individuals
• Some individuals may avoid seeking care due to cost, even when treatment is essential, which could lead to worsened health outcomes and higher long-term healthcare costs
• Potential under-provision of certain types of care, particularly preventive services, as people may only seek care when they are severely ill and unable to delay treatment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That clearly analyses and compares the extent to which charging for healthcare at the point of use is more beneficial to consumers and providers together with the associated problems and comes to a valid conclusion to answer the question.
A one-sided response cannot gain any marks for evaluation.
AO1 Knowledge and understanding and AO2 Analysis: 8
AO3 Evaluation: 4</t>
  </si>
  <si>
    <t xml:space="preserve">Candidates were generally able to identify that charging for healthcare can discourage unnecessary or excessive use, helping to reduce resource wastage and long waiting times, which benefits both consumers and providers. Many responses also recognised that fees could generate additional revenue to reinvest in improving healthcare quality and infrastructure, while easing pressure on government budgets and enabling more targeted subsidies. Stronger responses acknowledged the benefits of increased efficiency and better allocation of resources. However, weaker responses failed to fully explore the potential negative consequences of charging, such as reduced access for low-income individuals and the risk that people might avoid essential treatment due to cost, worsening long-term health outcomes. The under-provision of preventive care was also frequently missed. Some responses lacked a clear distinction between impacts on consumers and providers or offered descriptive rather than evaluative points. The best responses balanced the arguments effectively and reached a well-reasoned and justified conclusion.</t>
  </si>
  <si>
    <t xml:space="preserve">9708_s25_23_Q4a</t>
  </si>
  <si>
    <t xml:space="preserve">4.4.2, 4.4.4</t>
  </si>
  <si>
    <t xml:space="preserve">causes of economic growth, measuring growth</t>
  </si>
  <si>
    <t xml:space="preserve">Explain two causes of economic growth and consider the extent to which their impact can be measured.</t>
  </si>
  <si>
    <t xml:space="preserve">Follow the point-based marking guidance at the top of this mark scheme and award: up to 3 marks for AO1 Knowledge and understanding up to 3 marks for AO2 Analysis up to 2 marks for AO3 Evaluation.
AO1 Knowledge and Understanding (max 3 marks)
• Economic growth is the increase in the real value of goods and services produced in an economy over time (1). Explanation of two causes of protection – e.g. Increase in AD – higher real wages, direct tax cuts, lower interest rates; increases in LRAS – increased investment, increased productivity (1+1).
AO2 Analysis (max 3 marks)
• An explanation of how each cause increases economic growth (1+1). For example, reductions in income tax will reduce disposable income thereby increasing AD and economic growth. However, if high levels of job insecurity exists then the increase in consumption/AD/economic growth may be less (1). Alternatively, the ability to measure the impact will be affected by the size of the hidden/informal economy (1).
AO3 Evaluation (max 2 marks)
• Evaluation should consider the extent to which the causes can be measured – size of hidden/informal economy.
• 1 mark reserved for a justified conclusion.
AO1 Knowledge and understanding: 3
AO2 Analysis: 3
AO3 Evaluation: 2</t>
  </si>
  <si>
    <t xml:space="preserve">9708_w24_21_Q4a (56%)</t>
  </si>
  <si>
    <t xml:space="preserve">Stronger responses began with an accurate definition of economic growth, typically identifying it as an increase in real GDP over time. This provided a solid platform for explaining two valid causes of growth, often from both aggregate demand (AD) and long-run aggregate supply (LRAS) perspectives. Many such responses included competent chains of analysis, such as how increased government spending can boost AD, or how technological progress raises productive capacity and shifts LRAS. In contrast, weaker responses often lacked depth, offering incomplete chains of reasoning or simple assertions. For example, candidates might have stated ‘investment causes growth’ or ‘education improves the economy’ without explaining how these affect components of AD or LRAS. A significant number of candidates also failed to address the evaluative aspect of the question—namely, the extent to which the impact can be measured. Few recognised that the true extent of economic growth may be underestimated due to the exclusion of domestic services and the informal or hidden economy from official GDP statistics.</t>
  </si>
  <si>
    <t xml:space="preserve">9708_s25_23_Q4b</t>
  </si>
  <si>
    <t xml:space="preserve">;4.4;5.2;</t>
  </si>
  <si>
    <t xml:space="preserve">4.4.5, 5.2.4</t>
  </si>
  <si>
    <t xml:space="preserve">consequences of growth, tax revenue, inequality, environment, inflation</t>
  </si>
  <si>
    <t xml:space="preserve">Assess the extent to which economic growth is always beneficial for the people and government in an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</si>
  <si>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Potential benefits of increasing economic growth. For example:
• Economic growth often leads to increased real GDP per capita, allowing consumers to enjoy more goods and services and improve their quality of life.
• As output increases, firms typically need more workers, leading to more job opportunities and reduced unemployment.
• Higher incomes and spending generate more tax revenue without raising tax rates, enabling governments to invest in public services like healthcare and education.
• Sustained growth can boost investment and consumption as expectations about future income and profits rise.
Potential costs of increasing economic growth include:
• Economic growth can disproportionately benefit the wealthy, leading to a widening gap between rich and poor, with some groups not experiencing the same level of improvement.
• Increased production and consumption associated with growth can lead to higher pollution levels, depletion of natural resources, and other environmental harm.
• If growth is too rapid, it can lead to inflationary pressures, demand-pull inflation, and potential economic instability.
• As economies grow, the demand for resources (such as raw materials, energy, and land) increases, which can lead to shortages, higher prices, and the over-exploitation of finite resources.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Requires an assessment of the benefits and costs of increased economic growth (which may refer to specific groups) which leads to a justified conclusion as to whether or not economic growth is always beneficial
Accept all valid responses.
A one-sided response cannot gain any marks for evaluation.
AO1 Knowledge and understanding and AO2 Analysis: 8
AO3 Evaluation: 4</t>
  </si>
  <si>
    <t xml:space="preserve">9708_m24_22_Q5b (65%), 9708_s26_22_Q4b (64%)</t>
  </si>
  <si>
    <t xml:space="preserve">Candidates demonstrated varying levels of understanding of economic growth’s benefits and costs. Stronger responses clearly defined economic growth and discussed benefits such as higher real GDP per capita, which improves living standards by enabling consumers to access more goods and services. Many candidates explained that growth typically creates jobs by increasing demand for labour, reducing unemployment, and generates more tax revenue, allowing governments to invest in public services like healthcare and education. Some also noted that sustained growth encourages investment and consumption by raising expectations of future income and profits. Weaker answers often focused only on benefits without addressing negative impacts. Some responses showed a more complete view, recognising that growth can widen income inequality, disproportionately benefit the wealthy while leave some behind. Environmental concerns such as pollution and resource depletion were common in stronger answers, alongside inflationary pressures and resource shortages linked to rapid growth. The best responses assessed both the benefits and costs of economic growth, often considering specific groups, and provided a justified conclusion on whether growth is always beneficial, whereas some candidates made general assertions supported by examples without fully developing the evaluation.</t>
  </si>
  <si>
    <t xml:space="preserve">9708_s25_23_Q5a</t>
  </si>
  <si>
    <t xml:space="preserve">6.1.3, 6.3.3</t>
  </si>
  <si>
    <t xml:space="preserve">terms of trade, export prices, PED, current account</t>
  </si>
  <si>
    <t xml:space="preserve">The terms of trade index for an economy changed from 105 to 110 in a given year. Explain two likely reasons for this change and consider the extent to which the change is likely to benefit the current account of the balance of payments of this economy.</t>
  </si>
  <si>
    <t xml:space="preserve">Follow the point-based marking guidance at the top of this mark scheme and award: up to 3 marks for AO1 Knowledge and understanding up to 3 marks for AO2 Analysis up to 2 marks for AO3 Evaluation.
AO1 Knowledge and Understanding (max 3 marks)
• An accurate definition of the terms of trade OR an accurate formula (1)
• Understanding that there is likely to be an improvement in the terms of trade if export prices rise (1) relative to import prices (1).
AO2 Analysis (max 3 marks)
• Higher exports prices allow the country to receive a higher income from selling the same quantity of goods and services abroad. This increase in export revenue improves the current account balance (1).
• When the cost of importing goods decreases, the country can now import the same quantity of goods at a lower price, resulting in lower import expenditure and an improvement in the current account balance (1). MAX 2 if only benefits considered
AO3 Evaluation (max 2 marks)
• That assesses the extent to which an improvement in the terms of trade will benefit the balance of payments and reaches a conclusion as to whether this is of benefit to an economy (1). Reserve 1 mark for a valid conclusion.
AO1 Knowledge and understanding: 3
AO2 Analysis: 3
AO3 Evaluation: 2</t>
  </si>
  <si>
    <t xml:space="preserve">This question on the terms of trade was by far the least popular in Section C and remains an area of the specification that many students find challenging. Most candidates who attempted it were able to provide a correct definition of the terms of trade, showing a basic understanding of the concept. However, many struggled to analyse and evaluate the benefits of an improvement in the terms of trade to the current account of the balance of payments. While some correctly noted that an increase in terms of trade means a country can buy more imports for a given quantity of exports, few went further to consider important factors such as the price elasticity of demand for exports and imports or the possible effects on trade volumes.</t>
  </si>
  <si>
    <t xml:space="preserve">9708_s25_23_Q5b</t>
  </si>
  <si>
    <t xml:space="preserve">;6.1;5.4;</t>
  </si>
  <si>
    <t xml:space="preserve">6.1.1, 6.1.4, 5.4.3</t>
  </si>
  <si>
    <t xml:space="preserve">comparative advantage, supply-side policy, education, infrastructure</t>
  </si>
  <si>
    <t xml:space="preserve">Assess whether government policy can influence an economy’s comparative advantage in a good or service.</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</si>
  <si>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Understanding of how government policy can influence an economy’s comparative advantage in a good or service. For example:
•
• By investing in education and training, governments can improve the skills of the workforce, which can enhance productivity in certain industries.
• Government support for R&amp;D can lead to innovation, which might give a country a technological advantage in certain sectors. This can change the opportunity cost of producing a good or service, thereby influencing comparative advantage.
• By investing in infrastructure, such as transportation networks, ports, and digital networks, governments can reduce the costs of production and distribution, making domestic industries more competitive. This can improve a country's ability to produce goods at a lower opportunity cost.
• Understanding of potential problems for governments in influencing an economy’s comparative advantage in a good or service:
• Many government policies, such as investment in education, infrastructure, or research and development (R&amp;D), take a long time to affect the opportunity cost of producing a good or service
• Even if a government successfully creates a comparative advantage in a particular sector, global competition can erode that advantage. Other countries may adopt similar policies, or technological advancements elsewhere may outpace the country’s efforts.
• Government policies intended to enhance comparative advantage can have unintended consequences that harm other parts of the economy or create inefficiencies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Requires an assessment of the extent to which government policy can influence an economy’s comparative advantage in a good or service which leads to a justified conclusion as to which perspective is most likely to prevail.
Accept all valid responses.
A one-sided response cannot gain any marks for evaluation.
AO1 Knowledge and understanding and AO2 Analysis: 8
AO3 Evaluation: 4</t>
  </si>
  <si>
    <t xml:space="preserve">It was disappointing to see only a minority of candidates explain how government policy may impact an economy’s comparative advantage. Those who did highlighted how investment in education and training improves workforce skills and productivity, enhancing competitiveness in certain sectors. Moreover, investment in infrastructure, such as transport links and digital networks, was also cited as a way to lower production and distribution costs, strengthening comparative advantage. Unfortunately, few candidates explained how government policies can had limited influence on any comparative advantage or decided if such actions would bring lasting benefits.</t>
  </si>
  <si>
    <t xml:space="preserve">9708_s25_24_Q1a</t>
  </si>
  <si>
    <t xml:space="preserve">9708/24</t>
  </si>
  <si>
    <t xml:space="preserve">economic growth rate, data trend</t>
  </si>
  <si>
    <t xml:space="preserve">Malaysia – economic challenges</t>
  </si>
  <si>
    <t xml:space="preserve">Using the data in Fig. 1.1, describe the trend shown in the annual rate of economic growth in Malaysia over the period January 2019 to January 2022.</t>
  </si>
  <si>
    <t xml:space="preserve">• Overall, the rate of economic growth has fallen (1)
• Overall, a fluctuating trend (1)
• Up to January 2021 the growth rate fell and then became negative (1)
• Whereas from July 2021 to January 2022 it became positive (1)
Guidance: The trend in the period needs to be described, not every change.</t>
  </si>
  <si>
    <t xml:space="preserve">This type of question has been asked before. It is asking for a description of the trend (not trends) over the full period covered by the data. Therefore, a narrative of all the changes during the time period is irrelevant and not required and was not credited. There were really only two trends, the rate of economic growth fell and also, the trend did show a great deal of fluctuation. A comment about the fact that it became negative up to January 2021 and from July 2021 to the end of the period, it became positive was also credited. Far too many answers gained little or no credit as all changes were discussed despite writing a great deal.</t>
  </si>
  <si>
    <t xml:space="preserve">9708_s25_24_Q1b</t>
  </si>
  <si>
    <t xml:space="preserve">Explain what is meant by ‘real GDP’.</t>
  </si>
  <si>
    <t xml:space="preserve">• GDP refers to the total value of goods and services produced in an economy. (1)
• Real GDP is GDP corrected for / taking into account the effects of inflation / price changes. (1)
• Real GDP is Nominal GDP – rate of inflation. (2)
Max 2 marks</t>
  </si>
  <si>
    <t xml:space="preserve">Most candidates were able to gain some credit for this question although a common error was simply to refer simply to output rather than the value of output. Most had some understanding that the reference to ‘real’ meant that the value had to be adjusted for inflation and gained either 1 or 2 marks depending on the accuracy of the meaning of GDP. As ever, the best answers were the simplest i.e., nominal GDP – the rate of inflation and this alone gained 2 marks.</t>
  </si>
  <si>
    <t xml:space="preserve">9708_s25_24_Q1c</t>
  </si>
  <si>
    <t xml:space="preserve">benefits vs costs; to what extent</t>
  </si>
  <si>
    <t xml:space="preserve">subsidy, government spending, opportunity cost</t>
  </si>
  <si>
    <t xml:space="preserve">Consider the extent to which the potential advantages of subsidies given to firms by the Malaysian government outweigh their potential disadvantages.</t>
  </si>
  <si>
    <t xml:space="preserve">• Advantages include the reduction in firms’ costs of production, which may increase their competitiveness, leading to an increase in sales and AD, reducing unemployment as AS and AD both increase. It may also reduce prices for consumers, increasing consumer surplus. (MAX 2 marks)
• Disadvantages include payments to firms may be used to boost profits and not reduce costs; payments will be expensive for the government and could contribute to a budget deficit, may lead to inefficiency, may lead to overseas retaliation. (MAX 2 marks)
Max 3 marks overall
Up to 1 mark for valid evaluation:
• Relevant evaluation which considers the extent to which the potential advantages exceed the potential disadvantages of subsidies, in the context of Malaysia, for example, overall, the potential disadvantages are greater as subsidies are a significant expense for the Malaysian government.</t>
  </si>
  <si>
    <t xml:space="preserve">9708_w25_21_Q1d (62%)</t>
  </si>
  <si>
    <t xml:space="preserve">Many candidates were able to gain 3 marks for explaining the advantages and disadvantages of subsidies. This was normally in the context of reducing costs of production leading to increased competitiveness and AD/lower prices together with the burden to government finances. However, evaluation was often generic and not in the context of Malaysia at all. The data clearly refers to subsidies being a significant expense for Malaysia which was something few candidates picked up on when evaluating. Candidates must be reminded to use the data as much as possible when answering all parts of Question 1, particularly those requiring evaluation i.e., the 4– and 6-mark questions.</t>
  </si>
  <si>
    <t xml:space="preserve">9708_s25_24_Q1d</t>
  </si>
  <si>
    <t xml:space="preserve">causes of growth, external demand, net exports</t>
  </si>
  <si>
    <t xml:space="preserve">Assess how far external factors were responsible for economic growth in Malaysia over the period January 2019 to January 2022.</t>
  </si>
  <si>
    <t xml:space="preserve">Up to 3 marks for explanation / analysis of the extent that external factors were responsible For example, the increase in exports, reaching an all-time high in the last quarter of 2021 may lead to economic growth (1), Malaysia will benefit from an increase in the price of oil and gas leading to economic growth (1), it will also benefit from an overall growth in demand from its major trading partners / overall global economic activity (1)
Up to 3 marks for explanation / analysis of the extent that internal factors were responsible. For example, the use of domestic subsidies may be causing the increase in exports (1), the policies to make markets more flexible may be the cause (1), the high level of FDI and domestic investment due to government policy may be the cause (1)
Max of 4 marks overall for analysis (max 3 if factors are not clearly differentiated between internal/external)
Up to 2 marks for evaluation of how far external policies were responsible for economic growth in Malaysia during the period, compared to internal factors.
Reserve 1 mark for a justified conclusion.</t>
  </si>
  <si>
    <t xml:space="preserve">A common error was simply to list the factors either by copying or paraphrasing what was in the data without explaining how they may lead to economic growth. Candidates must be reminded that analysis consists of an explanation and not an assertion. The data does refer to both external and internal factors and both needed to be explained as to how they might lead to economic growth e.g., an increase in exports should lead to an increase in AD and therefore economic growth – an external factor. Domestic subsidies (an internal factor) should lead to a fall in the cost of production which may lead to improved export competitiveness and the increase in exports with the impact described in the previous sentence. The strengths of the internal and external factors then needed to be compared in the context of Malaysia to arrive at a justified conclusion about how far the external factors were responsible for the economic growth in the full period January 2019 to January 2022 and not just the period affected by COVID-19.</t>
  </si>
  <si>
    <t xml:space="preserve">9708_s25_24_Q1e</t>
  </si>
  <si>
    <t xml:space="preserve">;4.5;4.6;</t>
  </si>
  <si>
    <t xml:space="preserve">4.5.4, 4.6.4</t>
  </si>
  <si>
    <t xml:space="preserve">falling unemployment, demand-pull inflation, tax revenue</t>
  </si>
  <si>
    <t xml:space="preserve">Assess the possible consequences of a falling rate of unemployment for Malaysia.</t>
  </si>
  <si>
    <t xml:space="preserve">Up to 3 marks for explanation / analysis of the possible positive consequences of a falling rate of unemployment for Malaysia. For example, these may include an increase in overall income levels (1) which may also improve the overall standard of living for the Malaysian population (1). This may also increase government tax revenues / reduce spending on welfare benefits (1) which may in turn be spent on improving infrastructure and spending on merit goods such as education and healthcare (1) Falling unemployment may also lead to an increase in overall output (1) which may lead to an increase in export opportunities (1) and increased investment by firms (1)
Up to 3 marks for explanation / analysis of the possible negative consequences of a falling rate of unemployment for Malaysia. For example, due to rising aggregate demand (1) this may lead to demand pull inflation if aggregate supply cannot keep up (1). As wages rise and resources become scarce (1) this may lead to cost push inflation (1). It may also lead to a decline in labour productivity (1) Rising incomes may also lead to rising demand for imports (1), which may lead to a current account deficit (1).
Max of 4 marks overall for analysis (Note: accept any reasonable generic suggestions as detailed knowledge of the Malaysian economy is not required)
Up to 2 marks for evaluation of the possible positive and negative consequences of a falling rate of unemployment on Malaysia based on the preceding analysis.
Reserve 1 mark for a justified conclusion.</t>
  </si>
  <si>
    <t xml:space="preserve">This question was not supported by much data, so answers were far more generic as a result. What was expected though, was a sound economic understanding about the consequences (positive and negative) of a fall in unemployment on the economy as a whole. There were some good answers, particularly regarding the positive consequences although the negative impacts were generally less well done. Most candidates focused on the risks of inflation and increased costs for businesses as negative consequences although many failed to explain why either occurred. As ever though, evaluation was lacking and this is clearly a skill that needs to be developed i.e., an ability to actually assess the relative strengths of competing arguments to reach a final conclusion as opposed to merely summarising arguments.</t>
  </si>
  <si>
    <t xml:space="preserve">9708_s25_24_Q2a</t>
  </si>
  <si>
    <t xml:space="preserve">2.2.1, 2.2.2, 2.2.7, 2.2.8</t>
  </si>
  <si>
    <t xml:space="preserve">PED, PED formula, total revenue</t>
  </si>
  <si>
    <t xml:space="preserve">With the help of a formula, explain the meaning of price elasticity of demand and consider the significance to a firm of having price elastic or price inelastic demand for its product.</t>
  </si>
  <si>
    <t xml:space="preserve">Follow the point-based marking guidance at the top of this mark scheme and award: up to 3 marks for AO1 Knowledge and understanding up to 3 marks for AO2 Analysis up to 2 marks for AO3 Evaluation.
AO1 Knowledge and understanding (max 3 marks)
• It measures the responsiveness of changes in demand to changes in price (1)
• Correct formula (1)
• Meaning of price elastic and price inelastic in terms of the percentage / proportionate response of changes in demand to changes in price (1)
AO2 Analysis (max 3 marks)
• Analysis of the impact of rising OR falling prices on the demand for a firm’s products when PED is inelastic (1)
• Analysis of the impact of rising OR falling prices on the demand for a firm’s products when PED is elastic (1)
• Analysis of the effect of both rising and falling prices on the demand for a firm’s products when PED is both elastic and inelastic (3).
AO3 Evaluation (max 2 marks)
That offers a valid judgement on the importance of the distinction between price elastic and price inelastic demand for determining the impact of price changes on the sales of a firm’s products.
1 mark for assessing what a firm should do to influence demand/spending when demand is elastic. 1 mark for assessing what a firm should do to influence demand/spending when demand is inelastic.
AO1 Knowledge and understanding: 3
AO2 Analysis: 3
AO3 Evaluation: 2</t>
  </si>
  <si>
    <t xml:space="preserve">9708_s23_21_Q3a (59%), 9708_w23_22_Q2a (57%), 9708_m24_22_Q3a (68%), 9708_s24_21_Q3a (56%)</t>
  </si>
  <si>
    <t xml:space="preserve">This was a popular question and received the full range of marks available. Common weaknesses were a tendency to refer to elasticity in general terms e.g., price elastic means that demand has a big change when the price changes. Candidates should always refer to the percentage change in demand following a percentage change in price to gain any credit. Similarly, price changes affect revenue and not necessarily profit as this depends on costs of production etc. Consequently, answers which used precise language often gained high marks compared to those lacking the necessary precision. The significance of price elastic and price inelastic demand relates to the revenue generated by price changes in each case and the evaluation/conclusion should have focused on the potential additional revenue generated by raising the price if price inelastic and vice versa. Answers that focused on the accuracy of the measure were mainly irrelevant as this affects a firm’s decision-making ability whether the product has a price elastic or price inelastic demand.</t>
  </si>
  <si>
    <t xml:space="preserve">9708_s25_24_Q2b</t>
  </si>
  <si>
    <t xml:space="preserve">3.1.2, 1.6.3, 3.2.2, 3.2.3, 3.2.6</t>
  </si>
  <si>
    <t xml:space="preserve">merit good, subsidy, direct provision, education, health care</t>
  </si>
  <si>
    <t xml:space="preserve">Assess whether governments should always support the provision of merit goods in markets such as those for education or health care.</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</si>
  <si>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 understanding of what is meant by merit goods
• An understanding of the reasons why governments should support the provision of merit goods, including:
• The perceived benefits of merit goods and their underconsumption due to information failure / price etc., meaning that governments should support their provision e.g., through direct provision, subsidies, the provision of information etc.
• HOWEVER, the reasons why governments should not always support the provision of merit goods include:
• Government inefficiency, the opportunity cost of not spending money on alternative projects, the lack of government funding to finance this provision leading to a possible budget deficit.
• Information failure may still exist.
• Private provision may be possible and more efficient.
Level 1 responses will be assertive and lacking in explanations / mainly descriptive and / or or mainly lacking in relevance to the question.
Level 2 responses may contain some inaccuracies and may be one sided. Analysis will be explained at least in part and will be largely relevant to the question.
Level 3 responses will consider benefits/drawbacks etc. and will be balanced. Explanations of points raised will be offered and will be accurate and relevant to the question.
AO3 Evaluation
That clearly assesses whether governments should always support the provision of merit goods such as education and health care by considering the advantages and disadvantages of doing so and reaches a valid conclusion.
one-sided response cannot gain any marks for evaluation.
Accept all valid responses.
AO1 Knowledge and understanding and AO2 Analysis: 8
AO3 Evaluation: 4</t>
  </si>
  <si>
    <t xml:space="preserve">This was a slightly differently worded question to similar questions in the past. The question asked for an assessment of whether the provision of merit goods should always be supported and not an assessment of the methods of doing so. It was also not focused on whether a government should actually directly provide merit goods but whether their provision should be supported e.g., by direct provision, subsidies, maximum prices, information provision etc. Too many answers focused on the methods and not the reasons and marks were often low as a result. Another common misconception is that demerit goods are substitutes for merit goods and that a reduction in the provision of demerit goods will lead to an increase in merit goods which is a false assertion. Although there were some good marks awarded, a failure to read the question carefully led to many examples of low marks.</t>
  </si>
  <si>
    <t xml:space="preserve">9708_s25_24_Q3a</t>
  </si>
  <si>
    <t xml:space="preserve">3.2.4, 2.5.1, 2.5.3</t>
  </si>
  <si>
    <t xml:space="preserve">minimum price, consumer surplus, excess supply</t>
  </si>
  <si>
    <t xml:space="preserve">With the help of a diagram, explain the impact of introducing an effective minimum price for a product and consider the effect on the consumer surplus for that product.</t>
  </si>
  <si>
    <t xml:space="preserve">Follow the point-based marking guidance at the top of this mark scheme and award: up to 3 marks for AO1 Knowledge and understanding up to 3 marks for AO2 Analysis up to 2 marks for AO3 Evaluation.
AO1 Knowledge and understanding (max 3 marks)
• For an accurately drawn supply and demand diagram (1)
• Showing a minimum price above the equilibrium and the resultant increase in supply and fall in demand (1)
• An explanation that this will lead to supply exceeding demand leading to a surplus in the market (1)
Max 3 marks
AO2 Analysis (max 3 marks)
• An explanation of what is meant by consumer surplus (1)
• Use of the diagram to clearly show the fall in consumer surplus (1)
• An explanation to clearly explain why consumer surplus will fall (1)
Max 3 marks
AO3 Evaluation (max 2 marks)
That clearly considers the overall effect on consumer surplus of introducing a minimum price (it will fall) but the extent of the fall will be affected e.g., by PED.
Reserve 1 mark for a justified conclusion.
AO1 Knowledge and understanding: 3
AO2 Analysis: 3
AO3 Evaluation: 2</t>
  </si>
  <si>
    <t xml:space="preserve">9708_w22_21_Q1c (58%)</t>
  </si>
  <si>
    <t xml:space="preserve">Although minimum prices are used to discourage the consumption of demerit goods and provide a stable income for farmers, neither of these two scenarios were included in the question and therefore, any reference to them had no relevance. The impact of a minimum price is simply to raise the price of a product which the laws of supply and demand state will reduce demand, increase supply and therefore create a surplus. All that was required for the first three marks was to draw an accurate diagram, show and explain the surplus. Many received 2 marks although the surplus was not always explained, and time was often wasted explaining the reasons for a minimum price. Consumer surplus was often better explained and shown on the diagram although the reasons for the fall were rarely explained. Most candidates were able to state that the extent of the fall depended on PED although the overall quality of the evaluation varied a great deal. Consequently, the modal mark was 4/8 although some did achieve full marks whilst others received only 1 for an accurate supply and demand diagram.</t>
  </si>
  <si>
    <t xml:space="preserve">9708_s25_24_Q3b</t>
  </si>
  <si>
    <t xml:space="preserve">minimum wage, redistribution, transfer payments, progressive tax</t>
  </si>
  <si>
    <t xml:space="preserve">Assess whether a minimum wage policy is the best way to redistribute income in an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</si>
  <si>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 understanding of what is meant by a minimum wage policy
• An explanation of the benefits of using a minimum wage policy to redistribute income. These may include:
• It may raise the relative wages of the lower paid, provides an incentive to enter the labour market, and may redistribute profits from employers to workers.
• An explanation of the possible disadvantages of using a minimum wage policy to redistribute income. These may include:
• It may lead to inflation so low-income earners may not benefit, it may cause unemployment, higher paid workers may be able to maintain differentials so income is not redistributed, it may not be enforced.
• The policy MUST be compared to at least one other policy to redistribute income, for example the use of transfer payments, progressive income, inheritance and capital taxes and / or state provision of essential goods and services. The advantages and disadvantages of the chosen alternative/s must be analysed.
Level 1 responses will be assertive and lacking in explanations / mainly descriptive and / 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12
That clearly assesses the advantages and disadvantages of using a minimum wage policy to redistribute income in an economy and compares this to the advantages and disadvantages of using at least one other government policy and reaches a valid conclusion as to whether minimum wage policy is the best way to redistribute income in an economy.
A one-sided response cannot gain any marks for evaluation.
Accept all valid responses.
AO1 Knowledge and understanding and AO2 Analysis: 8
AO3 Evaluation: 4</t>
  </si>
  <si>
    <t xml:space="preserve">9708_s26_21_Q3b (63%)</t>
  </si>
  <si>
    <t xml:space="preserve">The question asked whether a minimum wage was the best way to redistribute income. The emphasis being on income redistribution. Although the way in which a minimum wage actually works was important to the analysis, many candidates focused far too heavily on this as opposed to how the policy may or may not redistribute income. It was also noticeable within this analysis how many candidates interchanged the words price and wage. Other policies such as progressive tax and transfer payments were often analysed better than a minimum wage, but they still tended to focus more on the policies rather than how they can lead to a better redistribution of income. Candidates do need to focus fully on the question is responses are going to get into Level 2 or beyond. Consequently, marks for evaluation were rare.</t>
  </si>
  <si>
    <t xml:space="preserve">9708_s25_24_Q4a</t>
  </si>
  <si>
    <t xml:space="preserve">;5.4;4.3;</t>
  </si>
  <si>
    <t xml:space="preserve">5.4.1, 5.4.3, 5.4.4, 4.3.9</t>
  </si>
  <si>
    <t xml:space="preserve">supply-side policy, education and training, LRAS, price level, time lags</t>
  </si>
  <si>
    <t xml:space="preserve">Explain why expenditure on education and training is a supply-side policy and consider why its impact on the general price level may differ between the short run and the long run.</t>
  </si>
  <si>
    <t xml:space="preserve">Follow the point-based marking guidance at the top of this mark scheme and award: up to 3 marks for AO1 Knowledge and understanding up to 3 marks for AO2 Analysis up to 2 marks for AO3 Evaluation.
AO1 Knowledge and understanding (max 3 marks)
• Supply side policy consists of government policy tools designed to increase aggregate supply (1)
• The effect is to shift the aggregate supply curve to the right (1)
• Government spending on education and training should increase worker skills and productivity and therefore increase a country’s productive capacity and therefore increase AS / shift the LRAS curve to the right (1)
AO2 Analysis (max 3 marks)
• In the short run, increased government expenditure will increase the level of AD which may lead to an increase in inflation and the general price level. (up to 2 marks)
• In the long run, increased expenditure on education and training should increase productivity and productive capacity and the shift in LRAS should lower the general price level. (up to 2 marks)
AO3 Evaluation (max 2 marks)
• That offers an overall assessment as to whether expenditure on education and training will have a different impact on the price level in the long run compared to the short run.
• For example, if the expenditure is ineffective and does not have the intended impact on productive capacity and productivity, this may simply increase the general price level.
• For example, time-lags mean short-run impact is minimal as the policy will only take effect in the long-run.
Reserve 1 mark for a justified conclusion.
AO1 Knowledge and understanding: 3
AO2 Analysis: 3
AO3 Evaluation: 2</t>
  </si>
  <si>
    <t xml:space="preserve">This was the most popular question by far in section C. Most answers were generally good with the majority recognising why expenditure on education was a supply-side policy and the different impacts on the price level in the short run and the long run caused by the initial impact on AD and the eventual impact on AS. Candidates who kept their responses concise and reasonably simple and used these terms of reference often scored more marks than candidates who over-elaborated often leading to irrelevant answers. Common errors were normally due to a lack of precision e.g., defining supply-side policy as one that affected rather than increased AS. Another issue resulted from analysis which focused simply on the long run impact of such expenditure without considering how or why the price level might rise in the short run. Such answers could not gain any evaluation marks along with answers that merely summarised analysis without reaching a conclusion.</t>
  </si>
  <si>
    <t xml:space="preserve">9708_s25_24_Q4b</t>
  </si>
  <si>
    <t xml:space="preserve">consequences of inflation, mild inflation, menu costs, competitiveness</t>
  </si>
  <si>
    <t xml:space="preserve">Assess whether the consequences of inflation in an economy are always negative.</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</si>
  <si>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 understanding of inflation
• Explanation of possible negative consequences of inflation in an economy, for example, the uncompetitiveness of exports leading to a worsening of the current account of the balance of payments, shoe leather costs arising from searching for better returns, menu costs arising from continually changing prices, planning difficulties arising from the uncertainty caused by inflation and a redistribution of income, e.g. those on fixed incomes will lose out.
• Explanation of possible positive consequences of inflation in an economy, such as an increase in borrowing arising from debt being less in real terms, an increase in the profits of firms, possibly leading to more workers being employed, and an increase in the value of assets, such as property
Level 1 responses will be assertive and lacking in explanations / mainly descriptive and / 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That clearly assesses whether the consequences of inflation are always negative by considering both the negative and positive consequences and reaches a valid conclusion as to whether the consequences are always negative.
A one-sided response cannot gain any marks for evaluation.
AO1 Knowledge and understanding and AO2 Analysis: 8
AO3 Evaluation: 4</t>
  </si>
  <si>
    <t xml:space="preserve">9708_m23_22_Q1e (63%), 9708_w25_24_Q1d (57%)</t>
  </si>
  <si>
    <t xml:space="preserve">Answers to this question were generally sound regarding the negative consequences although the depth of explanation was an important factor in discriminating between the mark levels. Candidates often focused on many consequences without really explaining any of them very well. It is far better to concentrate analysis on e.g., two or three valid points fully explained rather than many points with minimal discussion. Positive consequences were much more difficult to find and were often concentrated on suggestions that low levels of inflation suggested economic growth and borrowers also gain, although neither were consistently well explained. There were some reasonable attempts at evaluation mainly regarding the rate and type of inflation although many were unable to get beyond simple summative statements.</t>
  </si>
  <si>
    <t xml:space="preserve">9708_s25_24_Q5a</t>
  </si>
  <si>
    <t xml:space="preserve">terms of trade formula, export prices, import prices</t>
  </si>
  <si>
    <t xml:space="preserve">With the help of a formula, explain the causes of an improvement in the terms of trade in an economy and consider whether such an improvement can ever be harmful to an economy.</t>
  </si>
  <si>
    <t xml:space="preserve">Follow the point-based marking guidance at the top of this mark scheme and award: up to 3 marks for AO1 Knowledge and understanding up to 3 marks for AO2 Analysis up to 2 marks for AO3 Evaluation.
AO1 Knowledge and understanding (max 3 marks)
• For an accurate formula i.e., index of export prices / index of import prices (1)
• An improvement is when the value / ratio increases (1)
• An improvement is when export prices rise and / or import prices fall (1)
AO2 Analysis (max 3 marks)
For example:
• An improvement in the terms of trade may be seen to be beneficial as more imports can be purchased from the same volume of imports (1)
• However, an increase in export prices may lead to fewer exports in the long run (1)
• Which may lead to a current account deficit which may be considered harmful (1)
AO3 Evaluation (max 2 marks)
That offers an overall assessment as to whether an improvement in the terms of trade can ever be harmful to an economy.
Reserve 1 mark for a justified conclusion.
AO1 Knowledge and understanding: 3
AO2 Analysis: 3
AO3 Evaluation: 2</t>
  </si>
  <si>
    <t xml:space="preserve">9708_s24_23_Q5a (56%)</t>
  </si>
  <si>
    <t xml:space="preserve">Answers to this question mainly depended on whether candidates understand the difference between terms of trade and balance of trade. A significant number clearly do not even when the formula is correctly given and still continue to discuss the value of exports and imports rather than their price and the effects of the prices. There were still a number of good answers however and these tended to focus on good points being lower import prices for raw materials and negative points being a loss of export competitiveness. Evaluation was often still weak despite some reasonable analysis with most candidates being unable to grasp the importance of making a judgement based on the relative importance of both the positive and negative effects.</t>
  </si>
  <si>
    <t xml:space="preserve">9708_s25_24_Q5b</t>
  </si>
  <si>
    <t xml:space="preserve">depreciation, export competitiveness, imported inflation, current account</t>
  </si>
  <si>
    <t xml:space="preserve">Assess whether the depreciation of an exchange rate is always beneficial to an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</si>
  <si>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 understanding of what is meant by a depreciation of the exchange rate
• Explanation of the potential advantages of the depreciation of an exchange rate: It can lead to an increase in a country’s exports because the prices of these products are less than they were previously; this can help to reduce a current account deficit on an economy’s balance of payments; an increase in exports can stimulate an increase in aggregate demand (AD).
• Explanation of the potential disadvantages of the depreciation of an exchange rate: It will have the effect of making imports more expensive, both of finished products and of raw materials; if raw materials are more expensive, this will increase the cost of production of domestic firms, and this could bring about cost-push inflation.
Level 1 responses will be assertive and lacking in explanations / mainly descriptive and /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(max 4 marks): 12 That offers an overall assessment as to whether a depreciation in the exchange rate is always beneficial to an economy by assessing both the advantages and disadvantages of the depreciation and also considering the significance of PED values for both exports and imports and reaches a valid conclusion.
A one-sided response cannot gain any marks for evaluation.
Accept all valid responses
AO1 Knowledge and understanding and AO2 Analysis: 8
AO3 Evaluation: 4</t>
  </si>
  <si>
    <t xml:space="preserve">9708_s23_21_Q5a (57%)</t>
  </si>
  <si>
    <t xml:space="preserve">This was a fairly straightforward question and many of the answers reflected this. However, many candidates did not explain answers in sufficient depth and simply asserted different points. The comment made for 4(b) is still relevant, it is better to explain two or three valid points in detail rather than simple assertions of many more points. The negative effects often focused on more expensive imports of raw materials although many candidates suggested that more expensive imports would lead to a fall in standard of living without really explaining why. Evaluation continues to be weak summative statements although better answers made valid reference to the importance of international trade for different economies.</t>
  </si>
  <si>
    <t xml:space="preserve">9708_w25_21_Q1a</t>
  </si>
  <si>
    <t xml:space="preserve">1.4.1</t>
  </si>
  <si>
    <t xml:space="preserve">mixed economy, private sector, public sector</t>
  </si>
  <si>
    <t xml:space="preserve">Mexico – state-led energy policy</t>
  </si>
  <si>
    <t xml:space="preserve">Using the information provided, explain whether Mexico is a mixed economy.</t>
  </si>
  <si>
    <t xml:space="preserve">• Explanation of a mixed economy in terms of allocation of resources/ownership through both a private sector and a public sector (1).
• Evidence from the article that Mexico has BOTH a private sector (‘private sector rivals’, ‘harder for private firms to obtain permits …’, ‘domestic firms in private sector’) AND a public sector (‘changed the balance of the mixed economy by prioritising state-owned companies’, ‘it also gave state- owned electricity and oil companies priority …’, ‘operating costs of the state-owned electricity producers …’). (1)</t>
  </si>
  <si>
    <t xml:space="preserve">Many candidates were able to explain, using the information provided, whether Mexico was a mixed economy. They correctly explained the meaning of a mixed economy, in terms of the allocation of resources and/or ownership involving both the private sector and public sector, and then went on to use evidence from the article to further develop the explanation. A number of candidates recognised that although the balance of the mixed economy in Mexico was changing, it was still a mixed economy and not a planned economy.</t>
  </si>
  <si>
    <t xml:space="preserve">9708_w25_21_Q1b</t>
  </si>
  <si>
    <t xml:space="preserve">;1.1;</t>
  </si>
  <si>
    <t xml:space="preserve">1.1.3</t>
  </si>
  <si>
    <t xml:space="preserve">opportunity cost</t>
  </si>
  <si>
    <t xml:space="preserve">Explain what is meant by ‘The opportunity cost of Mexico’s new energy policy is huge.’</t>
  </si>
  <si>
    <t xml:space="preserve">• Multinational companies that might have located in Mexico may decide to go elsewhere where the energy policy is less restrictive for private companies (1) OR
• A failure to introduce renewable methods as economists reckoned that Mexico could have produced almost half its electricity from renewable sources long before its target of 2050. (1)</t>
  </si>
  <si>
    <t xml:space="preserve">Many candidates were able to explain what was meant by the concept of opportunity cost, in terms of the value of the (next) best alternative foregone when a decision was taken, although some made no attempt to define the term and others defined it in terms of any alternative rather than the best alternative. The candidates then went on to explain what was meant when it was stated that ‘the opportunity cost of Mexico’s new energy policy is huge’. Some candidates did this by referring to the fact that multinational companies that might have otherwise located in Mexico may have decided to go elsewhere where the energy policy was less restrictive for private companies. Alternatively, other candidates explained it in terms of a failure to introduce renewable methods as economists reckoned that Mexico could have produced almost half its electricity from renewable sources long before its target of 2050.</t>
  </si>
  <si>
    <t xml:space="preserve">9708_w25_21_Q1c</t>
  </si>
  <si>
    <t xml:space="preserve">;3.2;1.4;</t>
  </si>
  <si>
    <t xml:space="preserve">3.2.3, 1.4.2</t>
  </si>
  <si>
    <t xml:space="preserve">direct provision, state-owned enterprise, consumers</t>
  </si>
  <si>
    <t xml:space="preserve">Consider the extent to which direct provision of electricity in Mexico through state-owned companies may be advantageous to consumers.</t>
  </si>
  <si>
    <t xml:space="preserve">Potential advantages:
• State-owned companies seen as more likely to be drivers of growth, possibly leading to higher living standards.
• The government may have more financial resources to support the state - owned companies than the private sector, which could lead to lower prices and a more efficient supply to consumers.
• State-owned companies might be more likely to operate in the national interest than private companies, potentially benefitting. (Up to 2 marks)
Potential disadvantages:
• Operating costs of the state-owned electricity producers are significantly higher than in private companies, which could lead to higher prices for consumers.
• State-owned companies have old and inefficient plants that are expensive to maintain, which could lead to a less efficient supply to consumers.
• There will be less investment in renewable energy because the government has little interest in this. (Up to 2 marks)
Max 3 marks
Note: The focus of the question is consumers.
Evaluation
Offers a valid judgement on the extent to which direct provision of electricity in Mexico through state-owned companies may be more advantageous to consumers
Max 1 mark</t>
  </si>
  <si>
    <t xml:space="preserve">Many candidates were able to consider the extent to which direct provision of electricity in Mexico through state-owned companies may be advantageous to consumers. For example, one potential advantage was that the government may have more financial resources to support the state-owned companies than the private sector, which could lead to lower prices and a more efficient supply of electricity to consumers. On the other hand, one potential disadvantage was that the state-owned companies had old and inefficient plants that were expensive to maintain and so this situation could lead to higher prices and a less efficient supply of electricity to consumers. One issue with many of the responses was that candidates did not always focus on the advantages to consumers, often focusing on the government instead; this is why a careful reading of the question is so important.</t>
  </si>
  <si>
    <t xml:space="preserve">9708_w25_21_Q1d</t>
  </si>
  <si>
    <t xml:space="preserve">benefits vs costs; diagram required</t>
  </si>
  <si>
    <t xml:space="preserve">subsidy, price control, government spending, over-consumption</t>
  </si>
  <si>
    <t xml:space="preserve">With the help of a diagram, assess whether the potential advantages of providing a subsidy to keep down the price of electricity in Mexico will outweigh the potential disadvantages.</t>
  </si>
  <si>
    <t xml:space="preserve">Up to 4 marks for explanation/analysis:
An accurate diagram of a subsidy:
• Axes correctly labelled and demand and supply curves correctly drawn and labelled.
• Supply curve shifts to the right leading to a new equilibrium position . (1)
Explanation of the potential advantages of a subsidy, including a lower price and a higher quantity. (Up to 2 marks)
Explanation of the potential disadvantages of a subsidy, including the fact that it will need to be financed by the government, it could lead to inefficiencies and there would be an opportunity cost. (Up to 2 marks)
Up to 2 marks for evaluation:
Relevant evaluation of whether the potential advantages of providing a subsidy to keep down the price of electricity in Mexico will outweigh the potential disadvantages (1) to reach a conclusion. (1)</t>
  </si>
  <si>
    <t xml:space="preserve">9708_s25_24_Q1c (62%)</t>
  </si>
  <si>
    <t xml:space="preserve">The majority of candidates were able to assess whether the potential advantages of providing a subsidy to keep down the price of electricity in Mexico would outweigh the potential disadvantages. For example, two potential advantages could be a lower price and a higher quantity, while two potential disadvantages could be the fact that some of the companies might take advantage of the subsidy and become less efficient or that there would be an opportunity cost for the government in that the money used to finance the subsidy could have been used to finance something else, such as education or health care. One mark was available for a correct diagram and while many candidates gained this mark, many did not. The reason for this was that many of the diagrams were poorly drawn and labelled. For example, the supply curve was often shifted to the left, rather than to the right, or that the axes were wrongly labelled as price level and output rather than price and quantity. The demand and supply curves were often labelled AD and AS rather than D and S. In some diagrams, the new equilibrium positions as a result of the subsidy were incorrect. A number of candidates completely omitted a diagram. It is important that candidates realise when they are required to offer some evaluation; many candidates did not attempt to offer any evaluation of whether the potential advantages of providing a subsidy would outweigh the potential disadvantages, despite the fact that the command word used in the question was ‘assess’.</t>
  </si>
  <si>
    <t xml:space="preserve">9708_w25_21_Q1e</t>
  </si>
  <si>
    <t xml:space="preserve">;6.1;6.3;1.1;</t>
  </si>
  <si>
    <t xml:space="preserve">6.1.2, 6.3.3, 1.1.3</t>
  </si>
  <si>
    <t xml:space="preserve">self-sufficiency, specialisation, balance of trade, opportunity cost</t>
  </si>
  <si>
    <t xml:space="preserve">Assess the potential benefits and limitations of Mexico keeping its oil to generate the country’s electricity.</t>
  </si>
  <si>
    <t xml:space="preserve">Up to 4 marks for explanation/analysis:
• Explanation/analysis of the potential benefits of Mexico keeping more of its oil to generate the country’s electricity, such as in relation to a shift towards greater energy self -sufficiency. (Up to 3 marks)
• Explanation/analysis of the potential limitations of Mexico keeping more of its oil to generate the country’s electricity, such as whether Mexico has the capacity to produce enough electricity for its population of about 130 million or the possible impact of such a policy on its balance of trade (2022 data shown in Fig. 1.1) given that its crude oil will now be kept in the country rather than exported. (Up to 3 marks)
Up to 2 marks for evaluation:
• Relevant evaluation which weighs up the potential benefits and limitations of Mexico keeping its oil to generate the country’s electricity (1) to reach a conclusion. (1)</t>
  </si>
  <si>
    <t xml:space="preserve">A number of candidates made a good attempt to assess the potential benefits and limitations of Mexico keeping its oil to generate the country’s electricity. For example, one potential benefit would be that there would be a shift towards greater energy self-sufficiency, while one potential limitation would be that Mexico might not have the capacity to produce enough electricity for its population of about 130 million. As in the previous question, many candidates did not attempt to offer any evaluation of the potential benefits and limitations of Mexico keeping its oil to generate the country’s electricity, despite the fact that the command word used in the question was ‘assess’.</t>
  </si>
  <si>
    <t xml:space="preserve">9708_w25_21_Q2a</t>
  </si>
  <si>
    <t xml:space="preserve">2.2.1, 2.2.2, 2.2.6</t>
  </si>
  <si>
    <t xml:space="preserve">PED, PED formula, time period</t>
  </si>
  <si>
    <t xml:space="preserve">With the help of a formula, explain what is meant by price elasticity of demand for a product and consider the importance of time in determining whether demand for the product is likely to be relatively price elastic or relatively price inelastic.</t>
  </si>
  <si>
    <t xml:space="preserve">Follow the point-based marking guidance at the top of this mark scheme and award: up to 3 marks for AO1 Knowledge and understanding, up to 3 marks for AO2 Analysis, up to 2 marks for AO3 Evaluation.
AO1 Knowledge and understanding (max 3 marks)
• A knowledge and understanding of the formula for calculating price elasticity of demand: percentage change in the quantity demanded of a product divided by percentage change in the price of the product. (1)
• If the PED value is greater than one, the demand is price elastic, which means that percentage change in demand is greater than percentage change in price. (1)
• if the PED value is between zero and one, the demand is price inelastic, which means that percentage change in demand is less than percentage change in price. (1)
AO2 Analysis (max 3 marks)
An analysis of the importance of time in determining PED:
• Demand for a product is likely to be more inelastic in the short run than in the long run. (1)
• In the long run, consumers have more time to think about possible alternatives to a product. (1)
• Habit is more likely to influence the short-run pattern of consumption, making demand less likely to be affected by price changes. (1)
AO3 Evaluation (max 2 marks)
Offers a valid judgement on the importance of time in determining whether demand for the product was likely to be relatively price elastic or relatively price inelastic (1) to reach a conclusion. (1)
AO1 Knowledge and understanding: 3
AO2 Analysis: 3
AO3 Evaluation: 2</t>
  </si>
  <si>
    <t xml:space="preserve">9708_s24_21_Q3a (57%)</t>
  </si>
  <si>
    <t xml:space="preserve">In this part of the question, candidates were required to explain, with the help of a formula, what was meant by price elasticity of demand for a product and to consider the importance of time in determining whether demand for the product was likely to be relatively price elastic or relatively price inelastic. The majority of candidates were able to state the correct formula, although some left out the reference to percentage change in relation to both quantity demanded and price, and then went on to consider the importance of time in relation to the elasticity of demand for the product. Most candidates recognised that elasticity would be likely to be relatively inelastic in the short run and relatively elastic in the long run. A number of candidates also pointed out that time was only one of a number of possible influences on price elasticity of demand and not necessarily the most important. Unfortunately, some candidates wrote a very general answer on the different determinants of PED without making any reference to time, while a few candidates wrote about price elasticity of supply rather than price elasticity of demand.</t>
  </si>
  <si>
    <t xml:space="preserve">9708_w25_21_Q2b</t>
  </si>
  <si>
    <t xml:space="preserve">Assess whether knowledge of a product’s income elasticity of demand is more important to a firm producing it than knowledge of its cross elasticity of demand.</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</si>
  <si>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 knowledge and understanding and analysis of income elasticity of demand (YED), such as in relation to whether a product is a normal good, where YED will be positive, or an inferior good, where YED will be negative and an analysis of the importance of it to a firm, i.e. the extent of its importance.
• A knowledge and understanding and analysis of cross elasticity of demand (XED), such as in relation to whether two goods are substitutes, where XED will be positive, or complements, where XED will be negative and an analysis of the importance of it to a firm, i.e. the extent of its importance
(Up to 8 marks)
Level 1 responses will be assertive and lacking in explanations/mainly descriptive and/or mainly lacking in relevance to the question.
Level 2 responses may contain some inaccuracies and will be one-sided. Analysis will be explained at least in part and will be largely relevant to the question.
Level 3 responses will consider alternative policies/concepts etc. and will be balanced. Explanations of points raised will be offered and will be accurate and relevant to the question.
AO3 Evaluation
Evaluation of whether YED or XED is likely to be more important for a firm producing a product to reach a conclusion.
Accept all valid responses.
A one-sided response cannot gain any marks for evaluation.
(Up to 4 marks)
AO1 Knowledge and understanding and AO2 Analysis: 8
AO3 Evaluation: 4</t>
  </si>
  <si>
    <t xml:space="preserve">9708_s21_21_Q3b (64%), 9708_w21_21_Q3b (55%), 9708_w22_21_Q2b (57%), 9708_w23_21_Q2b (63%), 9708_m24_22_Q3b (63%), 9708_w25_22_Q2b (61%), 9708_s26_24_Q2b (60%)</t>
  </si>
  <si>
    <t xml:space="preserve">In the second part of the question, candidates were required to assess whether knowledge of a product’s income elasticity of demand was likely to be more important to a firm producing it than knowledge of its cross elasticity of demand. Most candidates were able to make some attempt to consider the importance of a product’s income elasticity of demand, especially in relation to whether the product was a normal good or an inferior good, and a product’s cross elasticity of demand, especially in relation to whether the product was a substitute or a complement. Unfortunately, many of the answers did not link consideration of YED and XED to a firm clearly enough. Some candidates did attempt to reach a judgement as to whether one was likely to be more important than the other, but unfortunately the quality of much of the evaluation offered was rather limited, and in some cases, the evaluation related to price elasticity of demand which had been covered in the first part of the question; it needs to be remembered that although eight marks are allocated to ‘knowledge and understanding’ (AO1) and ‘analysis’ (AO2) in the part (b) questions, four marks are allocated to ‘evaluation’ (AO3).</t>
  </si>
  <si>
    <t xml:space="preserve">9708_w25_21_Q3a</t>
  </si>
  <si>
    <t xml:space="preserve">free goods, private goods, scarcity, opportunity cost</t>
  </si>
  <si>
    <t xml:space="preserve">With the help of examples, explain the nature and characteristics of free goods and private goods (economic goods) and consider the significance of the distinction between these two types of good.</t>
  </si>
  <si>
    <t xml:space="preserve">Follow the point-based marking guidance at the top of this mark scheme and award: up to 3 marks for AO1 Knowledge and understanding up to 3 marks for
AO2 Analysis and up to 2 marks for AO3 Evaluation.
AO1 Knowledge and understanding (max 3 marks)
Free goods:
• A free good is one which is consumed by people without a situation of scarcity arising, i.e. there is enough of the good to satisfy everybody and it has no opportunity cost, such as sunlight. (1) Private goods (economic goods):
• A private or economic good is one which is consumed by an individual for their own private benefit, such as clothing. (1)
Use of appropriate examples of each type of good to support the explanations. (1)
AO2 Analysis (max 3 marks)
Free goods:
• As a free good is not scarce, it does not require a market. The supply of the good equals the demand for it at zero price. It takes no factors of production to produce a free good and so there is no opportunity cost involved; analysis of the significance of there being no opportunity cost. Private (economic) goods:
• Excludability: people can be excluded from consuming it if they do not pay the required price for it.
• Rivalry: the consumption of a private good by one person reduces its availability for other people, i.e. there is rivalry in such a situation because consumers are in competition with other consumers to consume a particular product.
AO3 Evaluation (max 2 marks)
Offers a valid judgement on the significance of the distinction between the two types of good (1) to reach a conclusion. (1)
AO1 Knowledge and understanding: 3
AO2 Analysis: 3
AO3 Evaluation: 2</t>
  </si>
  <si>
    <t xml:space="preserve">9708_w23_22_Q3a (55%), 9708_w24_23_Q2a (60%), 9708_s25_22_Q2a (56%)</t>
  </si>
  <si>
    <t xml:space="preserve">In this part of the question, candidates were required to explain, with the help of examples, the nature and characteristics of free goods and private goods (economic goods) and to consider the significance of the distinction between these two types of goods. Most candidates were able to explain the nature and characteristics of the two types of goods and to distinguish clearly between them. They stressed that free goods were not scarce and therefore did not require a market and that there was therefore no opportunity cost involved. In contrast, private or economic goods did require a price to be paid for them and so were both rival and excludable. Appropriate examples were used by most candidates, such as air or sunlight in the case of free goods and a house or a car in the case of private or economic goods. Unfortunately, some candidates confused a free good with a good provided ‘free’ by the government and gave such examples of public goods as defence or street lighting.</t>
  </si>
  <si>
    <t xml:space="preserve">9708_w25_21_Q3b</t>
  </si>
  <si>
    <t xml:space="preserve">Assess whether education should be classified as a public good or a merit good.</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</si>
  <si>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Public good:
• In contrast to private goods, public goods are provided by society as a whole so that everyone can benefit from them.
• Non-excludability: once a public good has been provided for one person, it is not possible to stop other people from benefiting from such a good (i.e. no one is excluded) (this would not apply to education).
• Non-rivalry: as more people consumer the public good, the benefit to those already consuming it is not reduced (i.e. consumption by one person does not prevent others from consuming it) .
• Non-rejectability: even if a person does not want the public good, they are not actually able to reject it.
• Free rider issue: it is impossible to exclude a person who has not paid.
Merit good:
• A merit good is a particular type of private good.
• Like other private goods, a merit good is both rival and excludable .
• What distinguishes a merit good is under-consumption if provided through the private sector as a result of imperfect information in the market, such as education (there has to be a clear focus on education throughout the answer).
(Up to 8 marks)
Level 1 responses will be assertive and lacking in explanations/mainly descriptive and/or mainly lacking in relevance to the question.
Level 2 responses may contain some inaccuracies and will be one-sided. Analysis will be explained at least in part and will be largely relevant to the question.
Level 3 responses will consider alternative policies/concepts etc. and will be balanced. Explanations of points raised will be offered and will be accurate and relevant to the question.
AO3 Evaluation
• Evaluation of the distinction between the features and characteristics of a public good and a merit good.
• In conclusion, education is provided through both the public sector and the private sector and so should be considered as a merit good rather than a public good.
Accept all valid responses. A one-sided response cannot gain any marks for evaluation. (Up to 4 marks)
AO1 Knowledge and understanding and AO2 Analysis: 8
AO3 Evaluation: 4</t>
  </si>
  <si>
    <t xml:space="preserve">9708_s23_21_Q2b (86%), 9708_s26_21_Q2a (61%)</t>
  </si>
  <si>
    <t xml:space="preserve">In the second part of the question, candidates were required to assess whether education should be classified as a public good or a merit good. Most of them were able to clearly distinguish between the two types of good, stressing that a public good was non-excludable, non-rival and non-rejectable, whereas a merit good was a particular type of private good and so was both excludable and rival. Candidates then went on to consider whether education was an example of a public good or a merit good, coming to the conclusion that even though it might be provided in the public sector in many countries, it was actually an example of a merit good. Unfortunately, some candidates decided to ‘sit on the fence’, arguing that it could be both, while others wrote a very general answer on public goods and merit goods, with little or no direct reference to education. Alternatively, some candidates wrote in great detail about various types of education, contrasting public schools and private schools, without linking the discussion to whether education should be classified as a public good or a merit good. Little real evaluation was provided by the majority of candidates despite the fact that four of the twelve marks available were for evaluation.</t>
  </si>
  <si>
    <t xml:space="preserve">9708_w25_21_Q4a</t>
  </si>
  <si>
    <t xml:space="preserve">frictional unemployment, technological unemployment, natural unemployment</t>
  </si>
  <si>
    <t xml:space="preserve">Explain the possible causes of frictional unemployment and technological unemployment and consider whether some element of frictional unemployment is inevitable in an economy.</t>
  </si>
  <si>
    <t xml:space="preserve">Follow the point-based marking guidance at the top of this mark scheme and award: up to 3 marks for AO1 Knowledge and understanding up to 3 marks for AO2 Analysis, up to 2 marks for AO3 Evaluation.
AO1 Knowledge and understanding (max 3 marks)
• A knowledge and understanding of what unemployment means in general. (1)
• One cause of frictional unemployment: it is temporary and at any point in time, there will be workers transferring between jobs; this could occur simply because an individual wishes to improve their job prospects and needs to spend time searching for a new job; there will be some unemployment while the transfer between jobs takes place. Searching may take some time if information about the availability of jobs is not very good. Frictional unemployment can include not only search unemployment, but also casual unemployment and seasonal unemployment. (1)
• One cause of technological unemployment is a type of structural unemployment that arises from the introduction of technology, when existing workers do not have the skills to operate the new technology ; This is caused when developments in technology and working practices cause some workers to lose their jobs as they are replaced by capital investment. (1)
AO2 Analysis (max 3 marks)
An analysis of whether some element of frictional unemployment is inevitable, e.g. it would depend on the quality of information available about vacancies and the extent to which workers would be keen to change from one job to another. Is it always likely to occur? Candidates need to analyse the extent to which it is or is not inevitable.
AO3 Evaluation (max 2 marks)
Offers a valid judgement on whether some element of frictional unemployment is inevitable in an economy (1) to reach a conclusion. (1)
AO1 Knowledge and understanding: 3
AO2 Analysis: 3
AO3 Evaluation: 2</t>
  </si>
  <si>
    <t xml:space="preserve">9708_s26_21_Q4a (63%)</t>
  </si>
  <si>
    <t xml:space="preserve">In this part of the question, candidates were required to explain the possible causes of frictional unemployment and technological unemployment and to consider whether some element of frictional unemployment was inevitable in an economy. Most candidates were able to explain a range of possible causes. For example, frictional unemployment occurred when individuals were between jobs in search of another job, and in addition to search unemployment there might also be instances of casual unemployment. Causes of technological unemployment, on the other hand, included the introduction of technology when some workers did not have the skills to operate the new technology. Somewhat surprisingly, relatively few candidates gave an explanation of what was meant by unemployment in general. On the whole, little consideration was given to whether frictional unemployment was inevitable in an economy, although some candidates did attempt to address this part of the question by pointing out that this would depend, at least to some extent, on the quality of information available about vacancies in an economy.</t>
  </si>
  <si>
    <t xml:space="preserve">9708_w25_21_Q4b</t>
  </si>
  <si>
    <t xml:space="preserve">technological unemployment, cyclical unemployment, consequences</t>
  </si>
  <si>
    <t xml:space="preserve">Assess whether the consequences of technological unemployment are likely to be more serious than those of cyclical unemployment.</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</si>
  <si>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Technological unemployment:
• Workers are unemployed as a result of a change in the pattern of production when machines replace labour in the productive process.
• New skills are required to use the capital equipment.
• Such unemployment is due to technical progress; if workers cannot move from one industry to another because of a lack of the required skills, they will become technologically unemployed.
Cyclical unemployment:
• Workers are unemployed because of a deficiency in aggregate demand, i.e. there are insufficient jobs in an economy.
• Whereas technological unemployment affects workers in particular industries, cyclical or demand-deficient unemployment affects the whole economy with job losses across a number of industries as firms reduce their output.
Focus of analysis should be the relative seriousness of the two types of unemployment. i.e. which is more serious and why.
(Up to 8 marks)
Level 1 responses will be assertive and lacking in explanations/mainly descriptive and/or mainly lacking in relevance to the question.
Level 2 responses may contain some inaccuracies and will be one-sided. Analysis will be explained at least in part and will be largely relevant to the question.
Level 3 responses will consider alternative policies/concepts etc. and will be balanced. Explanations of points raised will be offered and will be accurate and relevant to the question.
AO3 Evaluation
• Consideration of whether the consequences of technological unemployment are likely to be more serious than those of cyclical unemployment to reach a conclusion.
Accept all valid responses.
A one-sided response cannot gain any marks for evaluation. (Up to 4 marks)
AO1 Knowledge and understanding and AO2 Analysis: 8
AO3 Evaluation: 4</t>
  </si>
  <si>
    <t xml:space="preserve">9708_s23_21_Q1d (69%)</t>
  </si>
  <si>
    <t xml:space="preserve">In the second part of the question, candidates were required to assess whether the consequences of technological unemployment were likely to be more serious than those of cyclical unemployment. Most candidates were able to clearly distinguish between the two types of unemployment, stressing that the former was the result of technical progress and a move from labour-intensive to capital-intensive production while the latter was the result of a deficiency in aggregate demand in an economy. Unfortunately, relatively few candidates made a genuine attempt to offer any evaluation as to which of the two might be more serious, despite the fact that although eight marks are allocated to ‘knowledge and understanding’ (AO1) and ‘analysis’ (AO2) in the part (b) questions, four marks are allocated to ‘evaluation’ (AO3).</t>
  </si>
  <si>
    <t xml:space="preserve">9708_w25_21_Q5a</t>
  </si>
  <si>
    <t xml:space="preserve">tools of protection, tariffs, quotas</t>
  </si>
  <si>
    <t xml:space="preserve">Explain two tools of protection used by a country when trading internationally and consider whether one is likely to have more of an impact on the country’s economy than the other.</t>
  </si>
  <si>
    <t xml:space="preserve">Follow the point-based marking guidance at the top of this mark scheme and award: up to 3 marks for AO1 Knowledge and understanding up to 3 marks for AO2 Analysis, up to 2 marks for AO3 Evaluation.
AO1 Knowledge and understanding (max 3 marks)
An explanation of what is meant by protectionism in general, i.e. to protect domestic industries from international competition. (1)
An explanation of two tools of protection used by a country when trading internationally, including tariffs, import quotas, export subsidies, embargoes and excessive administrative burdens (‘red tape’). (1  2)
AO2 Analysis (max 3 marks)
An analysis of the two tools and how they impact an economy as methods of protection (a maximum of 2 marks if only one tool of protection is analysed).
AO3 Evaluation (max 2 marks)
Offers a valid judgement on whether one of the tools of protection is likely to have more of an impact on the country than the other (1) to reach a conclusion. (1)
AO1 Knowledge and understanding: 3
AO2 Analysis: 3
AO3 Evaluation: 2</t>
  </si>
  <si>
    <t xml:space="preserve">9708_w24_23_Q5a (64%)</t>
  </si>
  <si>
    <t xml:space="preserve">In this part of the question, candidates were required to explain two tools of protection that could be used by a country when trading internationally and to consider whether one of these tools was likely to have more of an impact on the country’s economy than the other. Most candidates decided to focus on tariffs and import quotas, but some candidates did focus on alternatives such as export subsidies, embargoes and excessive administrative burdens or ‘red tape’. The explanations of the two tools were, on the whole, reasonably good, and in many cases, good use was made of appropriate diagrams even though these were not explicitly asked for in the question. However, the contrast between the two in terms of their likely impact on an economy was rather limited and needed to be developed more fully.</t>
  </si>
  <si>
    <t xml:space="preserve">9708_w25_21_Q5b</t>
  </si>
  <si>
    <t xml:space="preserve">protectionism, consumers, producers, government revenue</t>
  </si>
  <si>
    <t xml:space="preserve">Assess whether all consumers, all producers and the government in a country will benefit equally from protectionism.</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</si>
  <si>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Consumers:
• Consumers are likely to be worse off as a result of protectionist measures. There may be a restriction of choice. In the case of a tariff, consumer surplus will be lower after a tariff is imposed because consumers will pay a higher price but will consume less (i.e. there will be a redistribution of income away from consumers).
Producers:
• Producers may gain from protectionism as there will be a higher producer surplus with producers gaining at the expense of consumers (i.e. there will be a redistribution of income towards producers). However, protectionism may reduce the incentive to be eff icient, e.g. potential benefits of the infant industry argument may not materialise.
Government:
• A government can receive revenue from a tariff. There may be an improvement in the balance of trade if protectionism is successful in reducing imports. However, whether domestic production will be able to compensate for this will depend on the elasticity of supply.
(Up to 8 marks)
Level 1 responses will be assertive and lacking in explanations/mainly descriptive and/or mainly lacking in relevance to the question.
Level 2 responses may contain some inaccuracies and will be one-sided. Analysis will be explained at least in part and will be largely relevant to the question.
Level 3 responses will consider alternative policies/concepts etc. and will be balanced. Explanations of points raised will be offered and will be accurate and relevant to the question.
AO3 Evaluation
• Consideration of whether all consumers, all producers and the government in a country will benefit equally from protectionism to reach a conclusion.
Accept all valid responses.
A one-sided response cannot gain any marks for evaluation. (Up to 4 marks)
5(b)
AO1 Knowledge and understanding and AO2 Analysis: 8
AO3 Evaluation: 4</t>
  </si>
  <si>
    <t xml:space="preserve">In the second part of the question, candidates were required to assess whether all consumers, all producers and the government in a country would benefit equally from protectionism. There was a consideration of the impact of protectionism on all three economic agents, but candidates rarely focused on whether the impact would benefit the three agents equally and so the quality of evaluation offered by candidates was very limited.</t>
  </si>
  <si>
    <t xml:space="preserve">9708_w25_22_Q1ai</t>
  </si>
  <si>
    <t xml:space="preserve">PED, determinants of PED</t>
  </si>
  <si>
    <t xml:space="preserve">Ivory Coast – cocoa prices and farmer incomes</t>
  </si>
  <si>
    <t xml:space="preserve">Identify one possible reason for the value of price elasticity of demand (PED) for chocolate.</t>
  </si>
  <si>
    <t xml:space="preserve">• The value shows that PED is relatively inelastic and a reason may be the addictive nature of chocolate, the relatively low price in relation to income, few substitutes etc.
• For a recognition that it is inelastic plus identification of a reason (1)</t>
  </si>
  <si>
    <t xml:space="preserve">This was a straightforward question, and most candidates scored well. Answers generally identified factors such as the availability of substitutes or whether chocolate is considered a luxury good to explain the fact that PED was inelastic. A few weaker responses confused PED with income elasticity or gave vague answers like ‘because people like chocolate’ without linking to elasticity concepts thereby gaining 0 marks.</t>
  </si>
  <si>
    <t xml:space="preserve">9708_w25_22_Q1aii</t>
  </si>
  <si>
    <t xml:space="preserve">Calculate the percentage change in the value of global sales of chocolate between 2017 and 2026, as shown in Table 1.1.</t>
  </si>
  <si>
    <t xml:space="preserve">• If the answer given as 58.8, 58.82 or 59 (with or without the % sign) award 1 mark. If the answer is shown as a negative figure e.g., -59(%) or the calculation is incorrect, 0 marks</t>
  </si>
  <si>
    <t xml:space="preserve">9708_s22_23_Q1bi (62%), 9708_s23_23_Q1a (59%), 9708_w23_22_Q1a (65%)</t>
  </si>
  <si>
    <t xml:space="preserve">Generally well answered. Most candidates applied the correct percentage change formula. Errors occurred where candidates reversed the base year or misread figures from the table. A minority attempted unnecessary conversions, which were not required.</t>
  </si>
  <si>
    <t xml:space="preserve">9708_w25_22_Q1b</t>
  </si>
  <si>
    <t xml:space="preserve">supply shift, falling price, commodity market</t>
  </si>
  <si>
    <t xml:space="preserve">With the help of a demand and supply diagram, demonstrate why cocoa bean prices continued to fall in 2023.</t>
  </si>
  <si>
    <t xml:space="preserve">• For an accurately drawn and labelled supply and demand diagram (1) that shows supply shifting to the right or further to the right than demand and showing the resulting decrease in price which can be shown by an arrow or P1 and P2 or an accompanying explanation (1)
Guidance: a diagram alone with the appropriate annotation is enough for the 2 marks.</t>
  </si>
  <si>
    <t xml:space="preserve">9708_m24_22_Q1c (55%)</t>
  </si>
  <si>
    <t xml:space="preserve">This question was accessible, and most candidates produced a clear diagram showing an outward shift in supply. Importantly, the diagram was sufficient to gain both marks as the question was asking candidates to demonstrate how a diagram could be used. Extended written explanations were therefore not required and often cost candidates crucial time that could have been better spent on later questions. Answers that gained 0 marks often resulted from using a macro diagram or ones that shifted the supply curve to the left/failed to show the price change or even omitted the diagram altogether.</t>
  </si>
  <si>
    <t xml:space="preserve">9708_w25_22_Q1c</t>
  </si>
  <si>
    <t xml:space="preserve">buffer stock, price fluctuations, commodity prices</t>
  </si>
  <si>
    <t xml:space="preserve">Consider whether a buffer stock system controlled by the government of Ivory Coast would be likely to prevent fluctuations in the price of cocoa beans.</t>
  </si>
  <si>
    <t xml:space="preserve">• A buffer stock system combines both maximum price and minimum price controls / is designed to minimise price fluctuations / price falls (1)
• If the price falls below a certain fixed point / minimum price the government will purchase and store cocoa beans therefore reducing supply/controlling demand to raise the price of cocoa beans (1). If the price rises beyond a certain point / maximum price, this buffer stock is released thus increasing supply and reducing the price of cocoa beans (1).
Guidance
• A response that only refers to governments buying stocks of cocoa beans in times of a surplus and selling them in times of a shortage to minimise price fluctuations is worth 1 additional mark maximum for analysis.
Reserve 1 mark for valid evaluation e.g.,
• Cocoa beans may be difficult/expensive to store / perishable/ may be an illegal market set up so it may not prevent fluctuations in the price of cocoa beans / the government do not have the budget to buy any surplus. (1)
Guidance
• The eval mark can be awarded even without any analysis marks being given PROVIDED there is a reasonable understanding that a buffer stock scheme only works when stocks can be held/released.</t>
  </si>
  <si>
    <t xml:space="preserve">9708_w24_23_Q1c (57%)</t>
  </si>
  <si>
    <t xml:space="preserve">Marks varied mainly due to a less than full understanding of how buffer stocks operate. Strong answers that fully explained how buffer stock systems operate were rare i.e., buying when prices are low and selling when prices are high using maximum and minimum price controls. Some attempts at evaluation were made usually in terms of perishability/ease of storage. Weaker responses however, simply asserted that ‘it will stabilise prices’ without considering practical limitations such as financial burden, perishability, or historical challenges. Few candidates referenced real-world examples, which could have strengthened evaluation.</t>
  </si>
  <si>
    <t xml:space="preserve">9708_w25_22_Q1d</t>
  </si>
  <si>
    <t xml:space="preserve">minimum price, excess supply, farm incomes, living wage</t>
  </si>
  <si>
    <t xml:space="preserve">Assess the extent to which the use of a minimum pricing policy would be the best way to ensure cocoa bean farmers get paid a living wage.</t>
  </si>
  <si>
    <t xml:space="preserve">Up to 3 marks for an explanation / analysis of the reasons why the use of a minimum pricing policy would be the best way to ensure cocoa bean farmers get paid a living wage e.g.:
• It ensures that farmers receive a guaranteed price above the equilibrium market price enabling them to receive a higher income
• It encourages farmers to maintain / increase production as there is more financial security again leading to a living wage
• It reduces the instability caused by fluctuations in the global price of cocoa beans leading to a more stable income for farmers.
Up to 3 marks for an explanation / analysis of the reasons why the use of a minimum pricing policy may not be the best way to ensure cocoa bean farmers get paid a living wage e.g.:
• It may not be set at an appropriate level / may not be enforceable e.g., due to the costs of enforcement
• It may lead to a surplus due to increased supply and reduced demand for e.g. chocolate products meaning this surplus may fail to be sold
• Budget constraints for the government may make it impossible for them to buy the surplus and this makes the scheme collapse
• May make farmers complacent therefore failing to invest and in the LR incomes fall.
Guidance:
• Allow any reasonable point for either perspective, BUT it must be linked how it affects farmer’s incomes.
• Candidates may choose to compare the advantages and disadvantages of an alternative method e.g., transfer payments / subsidies to farmers. Provided this is clear that a comparison to a minimum pricing policy has been attempted, this approach can also gain full marks.
• Do not allow answers that refer to minimum wages as the policy or as an alternative.
Note: 4 marks maximum for analysis
• Evaluation that clearly assesses both sides (1) and comes to a justified conclusion whether it is the best way (1).</t>
  </si>
  <si>
    <t xml:space="preserve">Many candidates simply described the mechanics of minimum pricing in general without linking this policy directly to the objective of ensuring farmers receive a living wage. Stronger responses considered both benefits (income stability, poverty reduction) and drawbacks (market distortions, enforcement difficulties, risk of surplus production) and considered alternative policies. Weaker answers focused only on advantages or confused minimum pricing with minimum wages and thus gained low marks.</t>
  </si>
  <si>
    <t xml:space="preserve">9708_w25_22_Q1e</t>
  </si>
  <si>
    <t xml:space="preserve">;6.1;1.3;</t>
  </si>
  <si>
    <t xml:space="preserve">6.1.2, 6.1.4, 1.3.4</t>
  </si>
  <si>
    <t xml:space="preserve">specialisation, primary product dependence, diversification, export revenue</t>
  </si>
  <si>
    <t xml:space="preserve">Assess the advantages and disadvantages of Ivory Coast continuing to specialise in the production and export of cocoa beans.</t>
  </si>
  <si>
    <t xml:space="preserve">Up to 3 marks for an explanation / analysis of the advantages of the government of Ivory Coast continuing to specialise in the production and export of cocoa beans e.g.:
• It allows producers to benefit from comparative advantage and become even more efficient, which will reduce costs and prices further and increase output
• It allows producers to further benefit from the increasing worldwide demand for cocoa beans and increase sales
• This can encourage / lead to economic growth as exports increase.
Up to 3 marks for an explanation / analysis of the disadvantages of the government of Ivory Coast continuing to specialise in the production and export of cocoa beans e.g.:
• Dependence on cocoa beans may make the economy vulnerable to global reductions in demand / crop failures
• It may mean less land is available for other essential food crops leading to an overreliance on imports
• A lack of diversification may hinder economic growth and also make the economy more at risk of external shocks
• It may exhaust the supply of cocoa beans and other natural resources leading to unemployment in Ivory Coast.
Note: 4 marks maximum for analysis
• Evaluation that clearly assesses both sides (1) and comes to a justified conclusion. (1)</t>
  </si>
  <si>
    <t xml:space="preserve">Responses were mixed. Many candidates identified comparative advantage and export revenue as key benefits although some answers implied the link to greater revenue without specifically referring to the fact that specialisation led to greater price competitiveness. Fewer, however explored disadvantages such as vulnerability to global price shocks, overdependence on a single commodity, and limited economic diversification. Stronger answers integrated real-world context and long-term implications, while weaker ones relied on generic statements without linking to Ivory Coast’s economic structure.</t>
  </si>
  <si>
    <t xml:space="preserve">9708_w25_22_Q2a</t>
  </si>
  <si>
    <t xml:space="preserve">absolute claim (always/only/alone); to what extent; diagram required</t>
  </si>
  <si>
    <t xml:space="preserve">;2.5;</t>
  </si>
  <si>
    <t xml:space="preserve">producer surplus, consumer surplus, cost increase, PED</t>
  </si>
  <si>
    <t xml:space="preserve">With the help of a diagram, explain the difference between producer surplus and consumer surplus and consider the extent to which producers always gain when the price of a product increases due to higher costs of production.</t>
  </si>
  <si>
    <t xml:space="preserve">Follow the point-based marking guidance at the top of this mark scheme and award: up to 3 marks for AO1 Knowledge and understanding up to 3 marks for AO2 Analysis up to 2 marks for AO3 Evaluation.
AO1 Knowledge and Understanding (max 3 marks)
For an fully accurately drawn diagram that clearly shows the area of consumer surplus below the demand curve and producer surplus above the supply curve (1) and that clearly explains that consumer surplus represents the difference between what a consumer is prepared to pay for a product and its market price (1) and that producer surplus represents the difference between what a producer is willing to accept and what is actually paid (1).
AO2 Analysis (max 3 marks)
For a correct diagram showing the effect of the higher cost of production on the price of the product (1) and explains the impact on the producer in terms of an increase /fall in revenue if the PED is inelastic (1) or elastic (1). The impact may also depend on whether PES is elastic / inelastic affecting the producer’s ability to respond to the price increase (1)
Guidance: The same diagram can be used for both Knowledge and Understanding and analysis.
AO3 Evaluation (max 2 marks)
The extent to which producers will always gain will depend on the value of PED (1) the value of PES (1) leading to a reasoned conclusion (1)
AO1 Knowledge and understanding: 3
AO2 Analysis: 3
AO3 Evaluation: 2</t>
  </si>
  <si>
    <t xml:space="preserve">This question was generally well answered, with most candidates able to define and distinguish between producer surplus and consumer surplus accurately. Stronger responses included a well- labelled diagram illustrating both surpluses and then linked the discussion to the impact of rising prices on producer gains. However, a significant number of candidates failed to consider changes in producer revenue beyond simply stating that ‘producers gain because prices rise’. Many ignored the fact that higher costs of production could offset any revenue increase, meaning producers may not always benefit. The evaluation required candidates to recognise that gains depend on elasticity of demand and cost changes, not just price movements. Diagrams were usually clear, but a minority omitted them entirely, which limited marks.</t>
  </si>
  <si>
    <t xml:space="preserve">9708_w25_22_Q2b</t>
  </si>
  <si>
    <t xml:space="preserve">YED, XED, falling incomes, business decisions</t>
  </si>
  <si>
    <t xml:space="preserve">Assess the view that a business should be more concerned about the income elasticity of demand for its product than its cross elasticity of demand when incomes are falling.</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</si>
  <si>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Analysis of the advantages and disadvantages of using income elasticity of demand. For example, it lets the business know whether it produces inferior or normal goods and therefore what to produce more of when incomes are falling but businesses may not be so flexible. Alternatively, the predictions may be incorrect or the same measurement may not be applicable to all households.
• Analysis of the advantages and disadvantages of using cross elasticity of demand. For example, for substitutes, it allows businesses to track the actions of competitors when incomes are falling. For complements, businesses can try to ensure they are aware of the impact on their own products depending on the impact on the complement. However, data may be out of date and make it unreliable.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Guidance: Answers that do not refer to falling incomes cannot gain more than a mid-Level 2 mark.
AO3 Evaluation
That clearly analyses both sides of the question and comes to a valid conclusion.
Accept all valid responses.
A one-sided response cannot gain any marks for evaluation.
AO1 Knowledge and understanding and AO2 Analysis: 8
AO3 Evaluation: 4</t>
  </si>
  <si>
    <t xml:space="preserve">9708_s21_21_Q3b (59%), 9708_w21_21_Q3b (58%), 9708_w25_21_Q2b (61%)</t>
  </si>
  <si>
    <t xml:space="preserve">Responses varied widely. Stronger answers explained both concepts clearly and linked them to the context of falling incomes, arguing that income elasticity is crucial for predicting demand changes during economic downturns. Many candidates provided good examples, such as luxury versus necessity goods. Weaker responses either simply explained the elasticities, often unnecessarily at length with no analysis of their importance when incomes are falling or focused only on one, missing the comparative element of the question. A common weakness was failing to evaluate circumstances where cross elasticity might matter, such as when substitutes or complements are significant. Evaluation marks were often lost due to lack of judgement or balance.</t>
  </si>
  <si>
    <t xml:space="preserve">9708_w25_22_Q3a</t>
  </si>
  <si>
    <t xml:space="preserve">PPC, movement vs shift, constant vs increasing opportunity cost</t>
  </si>
  <si>
    <t xml:space="preserve">With the help of a diagram, explain the difference between a movement along a production possibility curve (PPC) and a shift of this curve and consider whether a decision to produce more of one product will always incur an equal opportunity cost.</t>
  </si>
  <si>
    <t xml:space="preserve">Follow the point-based marking guidance at the top of this mark scheme and award: up to 3 marks for AO1 Knowledge and understanding up to 3 marks for AO2 Analysis up to 2 marks for AO3 Evaluation.
AO1 Knowledge and Understanding (max 3 marks)
For a fully accurately labelled diagram showing 2 products (not X and Y, P and Q etc.) (1) and an explanation that a movement means a decision to produce more of one product than another (1) and an explanation that a shift means that more (or less) of both products can be produced due to a change in productive capacity (1). Also accept a diagram showing an accurate shift in the PPC along with an explanation that this results from increased/decreased resources in the economy (1).
AO2 Analysis (max 3 marks)
For analysis that clearly explains what is meant by opportunity cost (1) and fully explains what is meant by increasing opportunity cost in terms of rate of which one product is given up for another product (1) and by a constant opportunity cost in terms of the rate of which one product is given up for another product (1)
AO3 Evaluation (max 2 marks)
For evaluation that explains that whether the opportunity cost is equal will depend on the ease of transferring production resources from one product to another (1) and reaches a justified conclusion (1)
AO1 Knowledge and understanding: 3
AO2 Analysis: 3
AO3 Evaluation: 2</t>
  </si>
  <si>
    <t xml:space="preserve">This question was accessible, and most candidates produced a clear PPC diagram. Stronger responses correctly distinguished between movements along the curve (reallocation of resources) and outward shifts (economic growth or increased resources). Many candidates explained opportunity cost well, noting that it is rarely equal due to increasing marginal costs. Weaker answers either omitted the diagram or confused shifts with movements, and some assumed opportunity cost is always constant, which limited evaluation marks.</t>
  </si>
  <si>
    <t xml:space="preserve">9708_w25_22_Q3b</t>
  </si>
  <si>
    <t xml:space="preserve">PPC shift, labour, technology, quality of resources</t>
  </si>
  <si>
    <t xml:space="preserve">Assess the extent to which it is always necessary to increase the size of the labour factor of production in order to cause an outward shift of the production possibility curve.</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</si>
  <si>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Responses should be aware that the question is focused on factors of production that cause an outward shift of the PPC i.e., an overall increase in potential output. Points to consider in the discussion may include: -
• the ease of increasing the labour force through e.g., increasing the retirement age, attracting more people into the labour force etc.
• the quality of the labour force including the importance of education and training
• the importance of at least one other factor of production e.g., enterprise, capital and /or land
The analysis should focus on the necessity of increasing the size of the labour force to increase potential output and compare this with the advantages and disadvantages of increasing at least one other factor of production.
For example:
• An increase in the size of the labour force provides more workers therefore increasing the number of goods and services that can be produced
• This will increase total output if other factors of production are maintained
• This will lead to an increase in economic growth and an outward shift in the production possibility curve
However:
• An increase in the labour force may not be possible
• Other factors of production may be more important, for example, enterprise, capital and /or land
• It may be more advantageous to develop the productivity of the existing labour force through training, better technology etc.
• This depends however on the receptiveness of the workforce along with the availability of enterprise skills, capital and land.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That clearly analyses both sides of the question and comes to a valid conclusion.
Accept all valid responses.
A one-sided response cannot gain any marks for evaluation.
AO1 Knowledge and understanding and AO2 Analysis: 8
AO3 Evaluation: 4</t>
  </si>
  <si>
    <t xml:space="preserve">Performance was mixed. Stronger answers recognised that while increasing labour can contribute to growth, other factors such as capital investment, technology, and productivity improvements can also cause outward shifts. Many candidates provided good examples, such as automation or education improving efficiency. Weaker responses focused solely on labour increases without considering alternative factors, leading to limited evaluation. A minority adopted a normative approach, discussing employment benefits rather than addressing the economic mechanism behind PPC shifts.</t>
  </si>
  <si>
    <t xml:space="preserve">9708_w25_22_Q4a</t>
  </si>
  <si>
    <t xml:space="preserve">;6.3;6.4;</t>
  </si>
  <si>
    <t xml:space="preserve">6.3.1, 6.4.5</t>
  </si>
  <si>
    <t xml:space="preserve">current account components, depreciation, current account surplus</t>
  </si>
  <si>
    <t xml:space="preserve">Explain three components of the current account of the balance of payments and consider the extent to which a depreciation in the exchange rate will always lead to a surplus on the current account.</t>
  </si>
  <si>
    <t xml:space="preserve">Follow the point-based marking guidance at the top of this mark scheme and award: up to 3 marks for AO1 Knowledge and understanding up to 3 marks for AO2 Analysis up to 2 marks for AO3 Evaluation.
AO1 Knowledge and Understanding (max 3 marks)
Knowledge and basic understanding of 3 components of the current account. The component must be identified by name together with a brief explanation by name i.e., 3 from
• Trade in goods – the value of physical goods e.g., computers
• Trade in services – the value of invisible goods e.g., insurance/tourism
• Primary income – e.g., the dividend income earned from overseas investments
• Secondary income – e.g., the income from overseas aid or worker remittances sent back to their own country. (3  1)
AO2 Analysis (max 3 marks) A depreciation in the exchange rate will make exports appear cheaper and/or imports more expensive (1), this should increase export revenue and/or reduce import expenditure and lead to a surplus (1). Also other components of the current account may influence whether the current account goes into surplus or not (1). N.B. if the impact of other sections of the current account are not considered, maximum mark of 2.
AO3 Evaluation (max 2 marks) Of an overall assessment of the extent to which a depreciation in the exchange rate will always lead to a surplus on the current account – for example, reference may be made to the relevance of PED values and also the value of other sections of the current account. Reserve 1 mark for a valid conclusion.
AO1 Knowledge and understanding: 3
AO2 Analysis: 3
AO3 Evaluation: 2</t>
  </si>
  <si>
    <t xml:space="preserve">This question produced a wide range of responses. Most candidates were able to identify the three components of the current account—trade in goods, trade in services, and primary/secondary income with clear definitions and relevant examples. Weaker responses though still fail to explain that they measure value leaving it unclear as to whether it is quantity or value. However, many candidates struggled with the second part of the question. While most recognised that a depreciation makes exports cheaper and imports more expensive, a significant number failed to consider conditions such as the responsiveness of demand for exports and imports or the impact of imported raw materials on production costs. Weaker responses assumed that depreciation automatically leads to a surplus without acknowledging these factors or potential time lags.</t>
  </si>
  <si>
    <t xml:space="preserve">9708_w25_22_Q4b</t>
  </si>
  <si>
    <t xml:space="preserve">Assess the extent to which the use of supply-side policy would be the best way to reduce a deficit on the current account of the balance of payments.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</si>
  <si>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An analysis of the advantages and disadvantages of using supply-side policy to reduce a deficit e.g.,
• It is likely to be more effective in the long run and less costly to the economy.
• it may reduce the possibility of retaliation by other countries BUT
• it will have an opportunity cost and is not likely to be a short-term solution.
Examples of supply side policy may include:
• Investment in education and training to improve worker productivity and entrepreneurship which may reduce costs and lead to increased competitiveness of domestic goods, therefore increasing exports and reducing imports
• Export subsidies and subsidies for domestic industries competing against imported goods
• Policies to reduce red tape and bureaucracy to encourage competition to reduce costs
• Investment in infrastructure to reduce costs of production However:
• They take time and can be costly, which is unlikely to reduce a deficit in the short term
• Other policies such as contractionary fiscal and monetary policy may work more quickly together with protectionist policies e.g., tariffs and currency depreciation. These policies should be analysed in terms of their strengths and weaknesses in reducing a current account deficit.
Guidance: Answers that do not refer to the policies in terms of reducing a current account deficit cannot gain more than a mid-Level 2 mark.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That clearly analyses both sides of the question and comes to a valid conclusion.
Accept all valid responses.
A one-sided response cannot gain any marks for evaluation.
AO1 Knowledge and understanding and AO2 Analysis: 8
AO3 Evaluation: 4</t>
  </si>
  <si>
    <t xml:space="preserve">9708_w22_21_Q4b (61%), 9708_m23_22_Q5b (73%), 9708_s23_22_Q4b (71%), 9708_m24_22_Q4b (69%), 9708_w24_23_Q5b (70%), 9708_w25_23_Q5b (70%)</t>
  </si>
  <si>
    <t xml:space="preserve">Marks varied considerably. Stronger answers explained how supply-side policies—such as improving productivity, reducing costs, and enhancing competitiveness—could help reduce a deficit by making exports more attractive. These responses also evaluated limitations, including time lags and the need for complementary policies like exchange rate adjustments. Weaker answers focused narrowly on one policy or confused supply-side measures with demand-side interventions. Many candidates missed the opportunity to compare supply-side policies with alternatives such as protectionism or currency depreciation, which limited evaluation marks. Overall, Question 4 was the least popular essay attempted.</t>
  </si>
  <si>
    <t xml:space="preserve">9708_w25_22_Q5a</t>
  </si>
  <si>
    <t xml:space="preserve">4.3.5, 4.3.12, 4.6.4</t>
  </si>
  <si>
    <t xml:space="preserve">components of AD, AD/AS, demand-pull inflation, spare capacity</t>
  </si>
  <si>
    <t xml:space="preserve">With the help of an aggregate demand and aggregate supply (AD/AS) diagram, explain why two components of AD may increase and consider the extent to which an increase in AD will always lead to inflation.</t>
  </si>
  <si>
    <t xml:space="preserve">Follow the point-based marking guidance at the top of this mark scheme and award: up to 3 marks for AO1 Knowledge and understanding up to 3 marks for AO2 Analysis up to 2 marks for AO3 Evaluation.
AO1 Knowledge and Understanding (max 3 marks)
An accurately labelled AD/AS diagram e.g., axes labelled price level and GDP showing an increase in AD and the increase in the price level (1) plus two components from consumption, investment, government spending and net exports and briefly explain why each may increase (2 x1)
AO2 Analysis (max 3 marks)
A rise in AD will lead to possible demand-pull inflation (1). However, the extent to which this may occur depends on the position of AD in relation to AS (1). It also depends on the supply side effect of the increase in AD e.g., government spending on subsidies may increase LRAS and therefore minimise any inflationary pressure (1).
AO3 Evaluation (max 2 marks)
For an overall assessment of the possible impacts which may result in inflation or not. Reserve 1 mark for a valid conclusion.
AO1 Knowledge and understanding: 3
AO2 Analysis: 3
AO3 Evaluation: 2</t>
  </si>
  <si>
    <t xml:space="preserve">9708_w23_22_Q5a (59%), 9708_s24_21_Q4a (57%)</t>
  </si>
  <si>
    <t xml:space="preserve">This was generally well answered, with most candidates able to identify two components of AD— such as consumption and investment—and explain reasons for their increase. Stronger responses included a well-labelled AD/AS diagram and linked the discussion to the conditions under which inflation occurs, such as whether the economy is operating near full capacity. Weaker answers assumed that any increase in AD automatically causes inflation, ignoring factors like spare capacity or the fact that increases in AD such as investment, may lead to long term improvements in AS. A minority omitted the diagram entirely, which restricted marks.</t>
  </si>
  <si>
    <t xml:space="preserve">9708_w25_22_Q5b</t>
  </si>
  <si>
    <t xml:space="preserve">consequences of inflation, consumers, firms</t>
  </si>
  <si>
    <t xml:space="preserve">Assess the view that the effects of a high rate of inflation are always more damaging for consumers than for firms.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</si>
  <si>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For consumers problems include:
• A loss of purchasing power that particularly affects fixed income earners and those with weak wage bargaining power
• Fiscal drag pulling individuals into higher tax brackets
• Shoe leather costs
• A loss of consumer confidence particularly at a time of high rates of inflation leading to an increased use of alternative methods of payment
However
• Consumers with debts gain as the value of their debts is eroded with inflation
• Consumers with assets gain e.g., house owners
For firms problems include:
• A loss of sales domestically and overseas due to higher prices / loss of competitiveness
• Menu costs
• Increased costs of production due to raw material costs and wages rising.
• At a time of high inflation, this will lead to a loss of confidence and lower investment
• Inflationary noise leading to poor decision making
However
• If it is demand led and sales increase, then firms will make increased profits.
• If the price level is rising at a faster rate than production costs then profits will rise.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Guidance: Answers that refer to a moderate or low rate of inflation cannot gain more than mid-level 2 mark.
AO3 Evaluation
That clearly considers and compares both sides of the analysis and reaches a justified conclusion.
Accept all valid responses.
A one-sided response cannot gain any marks for evaluation.
AO1 Knowledge and understanding and AO2 Analysis: 8
AO3 Evaluation: 4</t>
  </si>
  <si>
    <t xml:space="preserve">9708_m23_22_Q1e (57%)</t>
  </si>
  <si>
    <t xml:space="preserve">Responses covered a broad range of impacts. Stronger answers provided a balanced discussion, considering how inflation erodes purchasing power for consumers assuming no corresponding increase in income while also increasing uncertainty and costs for firms. Many candidates evaluated circumstances where firms might benefit, such as when they can pass on higher costs or when nominal revenues rise faster than costs. Weaker responses were one-sided, focusing only on consumer impacts without considering firms, or adopted a normative approach without economic reasoning. Evaluation marks were often lost due to lack of judgement or failure to weigh relative impacts.</t>
  </si>
  <si>
    <t xml:space="preserve">9708_w25_23_Q1a</t>
  </si>
  <si>
    <t xml:space="preserve">;1.3;</t>
  </si>
  <si>
    <t xml:space="preserve">1.3.1</t>
  </si>
  <si>
    <t xml:space="preserve">data interpretation, ageing population, labour force</t>
  </si>
  <si>
    <t xml:space="preserve">Malaysia – ageing population</t>
  </si>
  <si>
    <t xml:space="preserve">Use the information in Figs. 1.1 and 1.2 to compare the change in Malaysia’s total population from 2017 to 2022 with the change in its ageing population from 2017 to 2022.</t>
  </si>
  <si>
    <t xml:space="preserve">• Total population and ageing population have both increased (1)
• The share of ageing population has been increasing at a faster rate than increase in total population (1)</t>
  </si>
  <si>
    <t xml:space="preserve">Many candidates scored 1 mark for recognising that both Malaysia’s total population and ageing population increased between 2017 and 2022. However, a significant majority did not identify that the ageing population grew at a faster rate than the total population, which was key to the question.</t>
  </si>
  <si>
    <t xml:space="preserve">9708_w25_23_Q1b</t>
  </si>
  <si>
    <t xml:space="preserve">1.1.4</t>
  </si>
  <si>
    <t xml:space="preserve">what to produce, ageing population</t>
  </si>
  <si>
    <t xml:space="preserve">Explain one example of ‘what to produce’ in Malaysia that may have to change in order to meet the needs of its ageing population.</t>
  </si>
  <si>
    <t xml:space="preserve">• Malaysia may need to produce more healthcare and elderly care services, such as hospitals, nursing homes, and medical equipment (1).
• This change is needed because an older population requires more medical attention and long-term care, moving resources away from goods for younger people/existing provision (1).</t>
  </si>
  <si>
    <t xml:space="preserve">This question proved more challenging than anticipated. While many candidates were able to identify examples of changes in ‘what to produce’ in response to an ageing population, a substantial proportion gave vague answers such as ‘produce more goods’ without specifying relevant sectors (e.g. healthcare services, retirement housing). Stronger responses linked their examples to the needs of an ageing population and explained why such changes would be necessary. Weaker responses relied on generic statements that did not fully meet the demands of the question.</t>
  </si>
  <si>
    <t xml:space="preserve">9708_w25_23_Q1c</t>
  </si>
  <si>
    <t xml:space="preserve">PPC shift, productive capacity, labour force, productivity</t>
  </si>
  <si>
    <t xml:space="preserve">With the help of a production possibility curve (PPC) diagram, consider the extent to which Malaysia’s productive capacity is likely to change with its projected change in total population.</t>
  </si>
  <si>
    <t xml:space="preserve">• Correctly labelled axes (both must be goods. For example, capital goods and consumer goods) (1)
• PPC diagram that touches both axes. Either straight line or concave. (1)
• An outwards shift of the PPC–this must touch both axes and show an increased productive potential of both goods (1).
For valid evaluation
• The size of the outwards shift may depend on the extent to which Malaysia improves productivity (e.g. through technology or retraining older workers) (1).
• If the retirement age does not change then a larger proportion of the labour force will retire which may limit or reverse the outward shift in the PPC. (1)
• Other relevant comments that focus on the extent to which Malaysia’s PPC will shift outwards or otherwise.</t>
  </si>
  <si>
    <t xml:space="preserve">9708_m24_22_Q1b (56%)</t>
  </si>
  <si>
    <t xml:space="preserve">Candidates were required to use a production possibility curve (PPC) diagram to consider changes in Malaysia’s productive capacity. While most candidates drew a correctly shaped PPC, many failed to show an outward shift to reflect the increase in total population. A common error was presenting a static PPC without indicating any change in capacity. Additionally, some responses did not explain the diagram, limiting marks for analysis. Candidates who integrated the diagram with a clear explanation of how population growth affects productive capacity achieved higher marks. Additionally, as highlighted in previous reports, the 4-mark ‘consider’ command word requires some degree of evaluation, which was again rarely evident in candidate responses.</t>
  </si>
  <si>
    <t xml:space="preserve">9708_w25_23_Q1d</t>
  </si>
  <si>
    <t xml:space="preserve">;3.2;5.4;5.2;</t>
  </si>
  <si>
    <t xml:space="preserve">3.2.3, 5.4.3, 5.2.5</t>
  </si>
  <si>
    <t xml:space="preserve">direct provision, free childcare, labour force participation, opportunity cost</t>
  </si>
  <si>
    <t xml:space="preserve">Assess whether the Malaysian government should provide free childcare to working parents.</t>
  </si>
  <si>
    <t xml:space="preserve">Up to 3 marks for explanation/analysis of why the Malaysian government should provide free childcare to working parents.
• Supports low-income families by reducing childcare costs, helping to reduce poverty and income inequality.
• Raises overall consumption and tax revenue, supporting higher economic growth.
• Reduces financial pressure on parents by removing childcare costs, allowing them to save or consume on other goods and services.
• Makes it easier for both parents to work, improving household income and living standards.
Up to 3 marks for explanation/analysis of why the Malaysian government should not provide free childcare to working parents.
• Providing free childcare has a high opportunity cost, as government spending could be better used on healthcare, pensions, or infrastructure.
• It distorts the price mechanism by making childcare artificially cheap, leading to overconsumption and inefficient use of resources.
• It may reduce incentives for private childcare providers, lowering quality, efficiency, and competition in the market.
• Funding it through higher taxes could discourage work and investment, reducing overall economic productivity.
Up to 3 marks maximum for each perspective, with an overall maximum of 4 marks.
Guidance: The assessment must clearly demonstrate economic impacts. If only the reason why or why not free childcare should be provided, then a maximum of 3 marks.
Up to 2 marks for evaluation
• That clearly considers both viewpoints. For example, although free childcare helps families and can increase economic growth, but the government must consider the opportunity cost and how it might distort the price mechanism.
• Comes to a reasoned conclusion as to whether the government should provide free childcare to working parents (reserve 1 mark.)
No mark for eval can be awarded if just one perspective is considered .</t>
  </si>
  <si>
    <t xml:space="preserve">This question required candidates to assess whether the Malaysian government should provide free childcare to working parents. Stronger responses considered both perspectives: the potential benefits, such as increased labour force participation and support for working families, and the drawbacks, including the impact on public finances and the opportunity cost of allocating resources to childcare rather than other priorities such as healthcare or education. Evaluation was expected to go beyond listing points by weighing these arguments and reaching a clear, reasoned judgment on whether the policy should be implemented. Many candidates, however, focused only on advantages or disadvantages without offering a balanced discussion, limiting access to higher-level marks.</t>
  </si>
  <si>
    <t xml:space="preserve">9708_w25_23_Q1e</t>
  </si>
  <si>
    <t xml:space="preserve">4.3.2, 4.3.3, 4.3.5</t>
  </si>
  <si>
    <t xml:space="preserve">aggregate demand, consumption, investment, government spending, population</t>
  </si>
  <si>
    <t xml:space="preserve">Excluding net exports, assess the likely impact of the change in Malaysia’s total population on aggregate demand.</t>
  </si>
  <si>
    <t xml:space="preserve">Up to 3 marks for explanation/analysis of the change in Malaysia’s total population would increase the level of aggregate demand.
• A larger population means more consumers, so overall spending on goods and services (consumption) increases, causing AD to rise.
• Population growth creates higher demand for housing and infrastructure, encouraging firms to invest more, which raises investment in AD.
• The government may need to spend more on healthcare, education, and other public services, increasing government expenditure, a component of AD.
• More people can lead to a bigger workforce, increasing total income in the economy and allowing households to spend more, boosting consumption.
Up to 3 marks for explanation/analysis of the change in Malaysia’s total population would reduce the level of aggregate demand.
• If population growth causes unemployment to rise, many people may have lower or no income, reducing overall consumption and limiting AD growth.
• If people decide to save more due to uncertainty about the future, the increase in consumption will be smaller, so AD won’t rise much.
• Increased demand from a larger population might cause prices to rise (inflation), reducing the real value of incomes and spending power.
• Government budgets may be strained by population growth, limiting its ability to increase spending, so the impact on AD could be limited.
Up to 3 marks maximum for each perspective, with an overall maximum of 4 marks.
Up to 2 marks for evaluation
• That clearly considers both viewpoints. For example, although population growth can increase aggregate demand, but higher costs, inflation, and unemployment may limit how much demand actually rises.
• Comes to a reasoned conclusion as to whether the likely impact of the change in Malaysia’s total population on aggregate demand (reserve 1 mark)
No mark for evaluation can be awarded if just one perspective is considered.</t>
  </si>
  <si>
    <t xml:space="preserve">Candidates were asked to assess the likely impact of Malaysia’s population change on aggregate demand, excluding net exports. Stronger responses explored the complexity of the issue by considering how population growth could increase aggregate demand through higher consumption and government spending, while also recognising factors that might limit this effect, such as income distribution, employment opportunities, and capacity constraints. The best answers moved beyond a simple prediction and discussed conditions under which the impact would be significant or marginal. Evaluation was demonstrated through weighing these conditions and explaining which scenario appeared more plausible, rather than offering an unqualified conclusion. Many weaker responses assumed an automatic rise in aggregate demand without addressing these nuances, which restricted access to higher-level marks.</t>
  </si>
  <si>
    <t xml:space="preserve">9708_w25_23_Q2a</t>
  </si>
  <si>
    <t xml:space="preserve">market equilibrium, supply fall, demand increase, indeterminate outcome</t>
  </si>
  <si>
    <t xml:space="preserve">In 2022 the supply of root ginger from Nigeria, Africa’s biggest producer, fell by 20%. Market demand was expected to grow by more than 5%. With the help of a demand and supply diagram, explain how the market equilibrium for root ginger in Nigeria is likely to change and consider how certain you are of the new market price.</t>
  </si>
  <si>
    <t xml:space="preserve">Follow the point-based marking guidance at the top of this mark scheme and award: up to 3 marks for AO1 Knowledge and understanding up to 3 marks for AO2 Analysis up to 2 marks for AO3 Evaluation.
AO1 Knowledge and Understanding (max 3 marks) An accurate definition of equilibrium. A fully labelled, accurate diagram showing understanding that the decrease in supply will shift the supply curve to the left (1) and the increase in demand will shift the demand curve to the right (1). This can be shown on 2 separate diagrams.
AO2 Analysis (max 3 marks) Analysis of how the decrease in supply is likely to increase the price of root ginger; an analysis of how the increase in demand is likely to increase the price of root ginger. Up to 2 marks for each reason explained. Maximum of 3 marks overall.
AO3 Evaluation (max 2 marks) An assessment of the significance that the overall impact on the equilibrium will depend on the relative size of both shifts and/or the relevance of the PED and PES.
AO1 Knowledge and understanding: 3
AO2 Analysis: 3
AO3 Evaluation: 2</t>
  </si>
  <si>
    <t xml:space="preserve">This question was the most popular option in Section B, with most candidates able to draw a demand and supply diagram and show the expected changes in equilibrium price and quantity following a fall in supply and an increase in demand. Stronger responses explained the combined effect of these shifts and considered the certainty of the new price, discussing factors such as elasticity and possible market constraints. Weaker answers often focused only on one curve (usually supply) or failed to include any discussion of certainty, which was required by the question. Some diagrams were poorly labelled or lacked clarity, limiting marks for analysis.</t>
  </si>
  <si>
    <t xml:space="preserve">9708_w25_23_Q2b</t>
  </si>
  <si>
    <t xml:space="preserve">3.2.5, 2.2.7, 2.3.4</t>
  </si>
  <si>
    <t xml:space="preserve">buffer stock, income stabilisation, storage, diversification</t>
  </si>
  <si>
    <t xml:space="preserve">Assess the ways in which producers of root ginger might be able to stabilise their incomes.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</si>
  <si>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 analysis of the at least 2 ways in which producers or root ginger might be able to stabilise their income. For example, using their land for other purposes, diversifying or benefitting from government interventions. These interventions may include:
Subsidies
• Provision of financial support to help producers cover costs and maintain stable incomes.
• Encourage production by making ginger farming more profitable.
• Can be expensive for the government to maintain long-term.
• May encourage overproduction, leading to wasted resources or falling market prices.
Minimum Price
• Guarantees a minimum income for producers, stabilizing their earnings.
• Encourages consistent production levels.
• May lead to surpluses if minimum price is above equilibrium.
• Government may need to buy excess ginger, increasing costs.
Buffer Stock Systems
• Helps smooth out price fluctuations by buying surplus and releasing stock during shortages.
• Provides income stability for producers during periods of low demand.
• Requires significant storage and management costs.
• Risk of losses if stored ginger spoils or market conditions change.
Guidance: The assessment of both perspectives must be in the context of stabilising the income of root ginger producers and not a general explanation of a range of policies. A response that fails to do this is unlikely to achieve above a mid-Level 2 mark.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That clearly analyses at both sides of the question and comes to a valid conclusion.
A one-sided response cannot gain any marks for evaluation.
Accept all valid responses.
AO1 Knowledge and understanding and AO2 Analysis: 8
AO3 Evaluation: 4</t>
  </si>
  <si>
    <t xml:space="preserve">Candidates were asked to assess ways in which producers of root ginger might be able to stabilise their incomes. Many responses correctly identified government intervention measures such as minimum price schemes and buffer stock systems. Stronger answers explained how these policies could help maintain price stability by preventing prices from falling below a certain level or by smoothing out fluctuations through stockpiling and release. Crucially, evaluation was based on directly addressing the question by considering the limitations of these policies, such as high implementation costs, risk of surplus or wastage, and administrative challenges in the Nigerian context. The best responses weighed these limitations against potential benefits and reached a clear, reasoned judgment. Weaker answers tended to list methods without explanation or failed to provide any evaluation, limiting access to higher-level marks.</t>
  </si>
  <si>
    <t xml:space="preserve">9708_w25_23_Q3a</t>
  </si>
  <si>
    <t xml:space="preserve">Gini coefficient, income inequality, data usefulness</t>
  </si>
  <si>
    <t xml:space="preserve">The Gini coefficient for South Korea was estimated to be 0.39 in 2019 and 0.33 in 2022. Explain what this data means, how it might be used by the government of South Korea and consider its usefulness.</t>
  </si>
  <si>
    <t xml:space="preserve">Follow the point-based marking guidance at the top of this mark scheme and award: up to 3 marks for AO1 Knowledge and understanding up to 3 marks for AO2 Analysis up to 2 marks for AO3 Evaluation.
AO1 Knowledge and Understanding (max 3 marks) Meaning of what the Gini coefficient is (1). It ranges from 0 to 1, where 0 represents complete equality and 1 represents complete inequality (1). A fall in the Gini coefficient from 0.39 to 0.33 indicates that income became more evenly distributed among the population of South Korea between 2019 and 2022. (1)
AO2 Analysis (max 3 marks)
• The government could use this information to evaluate the success of policies aimed at reducing income inequality, such as progressive taxation or transfer payments. (1)
• The data might also guide future policy decisions, for example deciding whether to increase social welfare spending or adjust tax rates to maintain or further reduce inequality. (1)
• However, its usefulness will be dependent in both the accuracy of and confidence in the data. (1)
AO3 Evaluation (max 2 marks)
• The Gini coefficient is useful for showing changes in overall inequality, but it does not indicate which income groups have gained or lost. (1)
• It also ignores other dimensions of inequality, such as wealth inequality or access to education and healthcare, which can limit its usefulness for policy-making. (1)
• Despite these limitations, it remains a valuable indicator for comparing inequality over time and across countries. (1)
AO1 Knowledge and understanding: 3
AO2 Analysis: 3
AO3 Evaluation: 2</t>
  </si>
  <si>
    <t xml:space="preserve">This question was less popular than Question 2 but still widely attempted. Many candidates correctly explained what the Gini coefficient measures and understood that a value of 0 represents perfect equality and 1 represents perfect inequality. However, some candidates confused these interpretations and reversed the meaning, which affected the accuracy of their answers. Stronger responses not only interpreted the data correctly – recognising that inequality fell between 2019 and 2022 – but also discussed how the government could use this information to monitor trends and design policies aimed at reducing inequality. The best answers considered the limitations of the Gini coefficient, such as its inability to show absolute income levels or regional variations. Weaker responses tended to simply state that inequality had fallen without addressing usefulness or limitations, which restricted access to higher-level marks.</t>
  </si>
  <si>
    <t xml:space="preserve">9708_w25_23_Q3b</t>
  </si>
  <si>
    <t xml:space="preserve">3.3.1, 3.3.4</t>
  </si>
  <si>
    <t xml:space="preserve">income vs wealth, flow vs stock, inheritance tax, capital taxes</t>
  </si>
  <si>
    <t xml:space="preserve">Assess why it is easier for a government such as that of South Korea to redistribute income rather than redistribute wealth.</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</si>
  <si>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Redistributing Income
• Governments can change the level of direct taxation and transfer payments such as benefits or subsidies, allowing income redistribution through existing fiscal systems.
• Income is received regularly and recorded through wages or salaries, making it easier for governments to measure and adjust policies quickly.
However
• High-income earners may respond to redistributive tax policies by avoiding or evading taxes, reducing the effectiveness of redistribution.
• Increasing taxes on higher earners or firms may discourage work and investment, leading to lower economic growth and government revenue.
Redistributing wealth
• Wealth can be redistributed through inheritance or property taxes, which directly target accumulated assets rather than annual income.
• Governments can promote asset ownership among lower-income groups through housing schemes, education access, or small business grants.
However
• Wealth is often difficult to measure accurately, especially in the form of private businesses, offshore accounts, or property, making taxation complex.
• Wealthy individuals often have political influence and legal means to resist or reduce the impact of wealth taxes, limiting the government’s ability to redistribute effectively.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That clearly analyses at both sides of each perspective question and comes to a valid conclusion.
A one-sided response that does not contain both perspectives of each option cannot gain any marks for evaluation.
Accept all valid responses.
AO1 Knowledge and understanding and AO2 Analysis: 8
AO3 Evaluation: 4</t>
  </si>
  <si>
    <t xml:space="preserve">Candidates were asked to assess why it is easier for a government such as that of South Korea to redistribute income rather than redistribute wealth. Responses were expected to examine the ease or difficulty of redistributing income and then separately consider the ease or difficulty of redistributing wealth, with the evaluation culminating in a well-reasoned overall judgment on why it is easier to redistribute income. Many responses correctly identified that income is more visible and easier to tax through existing systems, while wealth is harder to measure and often tied up in assets. Stronger answers evaluated both sides of the argument – the advantages and disadvantages of redistributing income compared to redistributing wealth – and then offered a clear judgment on which approach is more practical. The best responses discussed administrative feasibility, equity implications, and economic effects before reaching a well-supported conclusion. Weaker answers often presented only one perspective or lacked depth in evaluation.</t>
  </si>
  <si>
    <t xml:space="preserve">9708_w25_23_Q4a</t>
  </si>
  <si>
    <t xml:space="preserve">causes of inflation, cost-push, demand-pull, own economy</t>
  </si>
  <si>
    <t xml:space="preserve">For your economy or for one that is known to you, explain three causes of inflation and consider which of these causes is likely to be most important in 2025.</t>
  </si>
  <si>
    <t xml:space="preserve">Follow the point-based marking guidance at the top of this mark scheme and award: up to 3 marks for AO1 Knowledge and understanding up to 3 marks for AO2 Analysis up to 2 marks for AO3 Evaluation.
AO1 Knowledge and Understanding (max 3 marks)
• Inflation is a sustained rise in the general price level (1).
• Understanding of three causes of inflation. The cause must be identified by name together with a brief explanation–e.g. demand-pull inflation when aggregate demand increases faster than aggregate supply, e.g., due to higher consumer spending, government expenditure etc. (1). Cost- push inflation when rising costs of production result in firms raising prices (1).
Up to 2 marks maximum for each cause, with an overall maximum of 3 knowledge marks.
AO2 Analysis (max 3 marks)
• An explanation of the identified cause of inflation for a named economy.
For example, a reduction in income tax increases disposable income, leading to higher consumption, which raises aggregate demand and can cause an increase in the price level/demand pull inflation (1 + 1). However, if high levels of job insecurity exists then the increase in consumption/AD/demand-pull inflation may be less important (1).
AO3 Evaluation (max 2 marks)
• Evaluation should consider the extent to which a single cause can be identified as being the most important.
• 1 mark reserved for a justified conclusion.
AO1 Knowledge and understanding: 3
AO2 Analysis: 3
AO3 Evaluation: 2</t>
  </si>
  <si>
    <t xml:space="preserve">Stronger candidates began with a precise definition of inflation, typically identifying it as a sustained increase in the general price level over time. This provided a strong foundation for explaining three causes of inflation, most commonly demand-pull and cost-push factors. High-quality responses linked demand-pull inflation to rising aggregate demand (AD), often supported by examples such as increased consumer spending or expansionary fiscal policy. Similarly, cost-push inflation was explained through rising production costs – such as higher wages or global energy prices – shifting aggregate supply (AS) leftward. The best answers developed clear analytical chains, showing how these factors influence price levels and considering which is likely to dominate in 2025. Many argued that cost-push pressures, driven by supply chain disruptions and energy market volatility, could remain significant. Weaker responses tended to list causes without explaining mechanisms or failed to address the evaluative aspect of the question. For example, some simply stated ‘inflation occurs when costs rise’ without linking this to AS shifts or real-world examples. A minority overlooked the importance of global factors, which are likely to shape inflationary trends over time.</t>
  </si>
  <si>
    <t xml:space="preserve">9708_w25_23_Q4b</t>
  </si>
  <si>
    <t xml:space="preserve">;5.4;5.3;5.2;4.6;</t>
  </si>
  <si>
    <t xml:space="preserve">5.4.4, 5.3.4, 5.2.7</t>
  </si>
  <si>
    <t xml:space="preserve">supply-side policy, demand-side policy, inflation, time lags</t>
  </si>
  <si>
    <t xml:space="preserve">Assess whether supply-side policy or demand-side policy is the better way of reducing this inflation.</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</si>
  <si>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Possible reasons why supply-side policies are the best way to reduce demand-pull inflation:
• They increase productive capacity (aggregate supply), helping meet higher demand without causing price rises.
• Improved efficiency and productivity lower production costs, reducing inflationary pressure in the long term.
However
• They take a long time to have an effect, so they may not reduce inflation quickly.
• Some policies, like education or infrastructure investment, are expensive and may not guarantee results.
Possible reasons why demand-side policies are the best way to reduce demand-pull inflation:
• Higher interest rates reduce consumer and business borrowing, lowering consumption and investment, which reduces aggregate demand and inflationary pressure.
• Increasing taxes reduces disposable income, leading to lower consumer spending and weaker aggregate demand.
However
• They can also reduce output and employment, leading to slower economic growth and higher unemployment.
• Time lags may occur before interest rate or tax changes have a noticeable effect on spending and inflation
Potential reasons why supply-side policies are the best way to reduce cost-push inflation:
• Increasing investment in training and technology can raise productivity, allowing firms to produce more with the same resources, helping reduce cost pressures.
• Improving transport and infrastructure reduces distribution costs for firms, helping lower overall production costs and ease inflationary pressure.
However
• They take a long time to show results, so they are not effective in reducing inflation in the short term.
• External factors like rising oil prices or imported inflation cannot be controlled by domestic supply-side policies
Guidance: The assessment of both perspectives must be in the context of the reducing inflation and not a general explanation of both policies . A response that fails to do this is unlikely to achieve above a mid-Level 2 mark.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Requires an assessment of how both supply-side policy and demand-side policy may reduce ‘this inflation’ which leads to a justified conclusion as to which policy is the better way for the identified country.
Accept all valid responses.
A one-sided response cannot gain any marks for evaluation.
Accept all valid responses.
AO1 Knowledge and understanding and AO2 Analysis: 8
AO3 Evaluation: 4</t>
  </si>
  <si>
    <t xml:space="preserve">9708_w23_23_Q4b (66%), 9708_s24_22_Q4b (59%)</t>
  </si>
  <si>
    <t xml:space="preserve">Candidates were expected to evaluate whether supply-side or demand-side policies are the better way of reducing the specific type of inflation they discussed in part (a). Stronger responses began by defining both policy approaches and then linked their analysis to the chosen inflation type. For demand-pull inflation, stronger answers argued that demand-side policies, such as contractionary fiscal or monetary measures, are more effective because they directly reduce aggregate demand, curbing upward pressure on prices. However, these policies were recognised as having drawbacks, such as slower growth and higher unemployment. For cost-push inflation, candidates often highlighted supply-side measures, such as improving productivity, reducing regulation, or investing in infrastructure, as better suited to tackling rising costs. Stronger answers acknowledged that these policies take time to materialise and may not provide immediate relief, whereas demand- side measures can quickly dampen inflation but do little to address underlying cost pressures. The best responses weighed these advantages and disadvantages, considered time horizons, and concluded which approach is more appropriate given the nature of inflation under consideration. Weaker answers often described policies in isolation without linking them to the type of inflation discussed or failed to provide a justified conclusion. Stronger candidates supported their evaluation with examples and explained why a combination of both policies might be optimal in practice.</t>
  </si>
  <si>
    <t xml:space="preserve">9708_w25_23_Q5a</t>
  </si>
  <si>
    <t xml:space="preserve">current account deficit, causes, government concern</t>
  </si>
  <si>
    <t xml:space="preserve">Explain two reasons why an economy may have a deficit on the current account of its balance of payments and consider whether its government is likely to be concerned about this deficit.</t>
  </si>
  <si>
    <t xml:space="preserve">Follow the point-based marking guidance at the top of this mark scheme and award: up to 3 marks for AO1 Knowledge and understanding up to 3 marks for AO2 Analysis up to 2 marks for AO3 Evaluation.
AO1 Knowledge and Understanding (max 3 marks) The current account records trade in goods and services, primary income, and secondary income between countries/A current account deficit occurs when the value of imports of goods or services, primary and secondary income exceeds the value of exports (1). Two marks for an accurate explanation of two reasons–e.g., low international competitiveness, (1) - if the country experiences strong domestic growth. (1)
AO2 Analysis (max 3 marks) An explanation of why the government is likely to be concerned at about this deficit. For example, a current account deficit could lead to downward pressure on the exchange rate, making imports more expensive and potentially causing inflation (1). Persistent deficits may reduce confidence among foreign investors, limiting inflows of capital needed to finance growth (1). However, the government may not be concerned if the deficit is temporary or caused by for example, high investment imports that may boost future productive capacity (1) A max of 2 marks for either perspective.
AO3 Evaluation (max 2 marks) An assessment of the extent that the government is likely to be concerned. For example, the level of concern will depend on the size, duration and cause of the deficit and how it is financed (1).
AO1 Knowledge and understanding: 3
AO2 Analysis: 3
AO3 Evaluation: 2</t>
  </si>
  <si>
    <t xml:space="preserve">9708_s22_23_Q4a (56%), 9708_w23_23_Q5b (58%), 9708_s26_23_Q5b (56%), 9708_s26_24_Q5b (56%)</t>
  </si>
  <si>
    <t xml:space="preserve">Stronger candidates began by defining the current account and explaining why deficits occur, typically citing factors such as high domestic consumption of imports and lack of competitiveness in exports. Many responses linked these reasons to structural issues like productivity gaps or cyclical factors such as exchange rate fluctuations. The best answers evaluated whether governments should be concerned, noting that persistent deficits may lead to rising external debt and vulnerability to currency crises, whereas short-term deficits might reflect investment-led growth and be less problematic. Weaker responses often listed reasons without analysis or ignored the evaluative element of the question. Some candidates confused the current account with the overall balance of payments or focused narrowly on trade without considering income and transfers. Stronger answers incorporated real-world examples and discussed sustainability, financing options, and implications for economic stability.</t>
  </si>
  <si>
    <t xml:space="preserve">9708_w25_23_Q5b</t>
  </si>
  <si>
    <t xml:space="preserve">protectionism, contractionary policy, current account deficit, retaliation</t>
  </si>
  <si>
    <t xml:space="preserve">Assess whether it is better to use protectionist policies or contractionary policies to reduce a deficit on the current account of the balance of payments.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</si>
  <si>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Possible reasons why protectionist policies are the best way to reduce a deficit on the current account of the balance of payments.
• They may reduce the value of imports, which helps to lower the current account deficit by limiting the outflow of money from the economy.
• They may protect domestic industries from foreign competition, allowing local firms to grow and potentially increase exports in the future.
However
• They can raise prices for consumers, as tariffs or quotas make imported goods more expensive, reducing consumer welfare.
• Other countries may retaliate with their own trade barriers, which could reduce exports and harm the economy further.
Possible reasons why contractionary policies are the best way to reduce a deficit on the current account of the balance of payments.
• They can reduce domestic demand, which lowers imports and helps decrease the current account deficit.
• They may help control inflation by reducing spending in the economy, which can stabilise the exchange rate and make exports more competitive.
However
• They can slow economic growth and increase unemployment, as lower demand reduces output in domestic industries.
• They may reduce consumer and business confidence, which can further decrease spending and investment, worsening the economic slowdown.
Guidance: The assessment of both perspectives must be in the context of the reducing a current account deficit and not a general explanation of both policies.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Requires an assessment of whether it is better to use protectionist policies or contractionary policies to reduce a deficit on the current account of the balance of payments. For example–Protectionist policies may work more quickly to reduce imports and protect domestic industries, but they risk retaliation from other countries and higher prices for consumers. Alternatively, contractionary policies may take longer to reduce the deficit but may help control inflation, though they may slow economic growth and increase unemployment.
Accept all valid responses.
A one-sided response cannot gain any marks for evaluation.
Accept all valid responses.
AO1 Knowledge and understanding and AO2 Analysis: 8
AO3 Evaluation: 4</t>
  </si>
  <si>
    <t xml:space="preserve">9708_w21_21_Q4b (59%), 9708_s22_22_Q4b (59%), 9708_w22_21_Q4b (56%), 9708_m23_22_Q5b (67%), 9708_s23_22_Q4b (75%), 9708_m24_22_Q4b (64%), 9708_w24_23_Q5b (74%), 9708_w25_22_Q4b (70%)</t>
  </si>
  <si>
    <t xml:space="preserve">The best responses explained clearly how protectionist and contractionary policies would reduce a current account deficit. They showed that protectionist measures, such as tariffs and quotas, can restrict imports and reduce currency outflows, while noting risks like retaliation and higher prices. Similarly, they explained that contractionary policies, including higher interest rates or reduced government spending, lower aggregate demand and therefore cut spending on imports, though at the cost of slower growth and higher unemployment. Weaker responses often gave a general discussion of the advantages and disadvantages of these policies without linking them to the mechanism for reducing the deficit. Stronger answers focused on this link and reached a clear conclusion on which approach was more effective.</t>
  </si>
  <si>
    <t xml:space="preserve">9708_w25_24_Q1a</t>
  </si>
  <si>
    <t xml:space="preserve">economic growth forecasts, data comparison</t>
  </si>
  <si>
    <t xml:space="preserve">USA – growth and inflation</t>
  </si>
  <si>
    <t xml:space="preserve">Compare the forecast rates of economic growth for the US and Eurozone between 2023 and 2024.</t>
  </si>
  <si>
    <t xml:space="preserve">• The forecasts for both the US and Eurozone have shown real economic growth between 2023 and 2024
• The forecast for the US has shown higher real economic growth than the Eurozone in both periods.
• The forecast for the US has shown a fall in the rate of growth between 2023 and 2024 whereas the forecast for the Eurozone has shown an increase.
Guidance: Only award marks for a valid comparison between the two years and the two economies.
Note: answers which suggest GDP in the US has fallen between 2023 and 2024 must not be credited as it is the rate of growth that has fallen.</t>
  </si>
  <si>
    <t xml:space="preserve">2-mark questions of this nature require 2 points of comparison, 1 mark for each. Marks are also awarded for simple comparisons, in this case, between the US and Eurozone and between 2023 and 2024. Descriptions of all the changes within the two periods are not required. Good answers that gained 2 marks answered the question in this way and were often brief. Weaker answers described changes within the periods or did not offer valid comparisons between the US and Eurozone and were often unnecessarily lengthy and would often gain 1 mark at most.</t>
  </si>
  <si>
    <t xml:space="preserve">9708_w25_24_Q1b</t>
  </si>
  <si>
    <t xml:space="preserve">real GDP, nominal GDP</t>
  </si>
  <si>
    <t xml:space="preserve">Explain one reason why the IMF uses percentage change in real GDP and not percentage change in nominal GDP when measuring economic growth.</t>
  </si>
  <si>
    <t xml:space="preserve">• Nominal GDP growth shows the growth without taking into account inflation whereas real GDP growth removes the effects of inflation. (1)
• It allows for a better / more meaningful comparison between years. (1)
Note: do not award the 2nd mark without some understanding of the two terms in the question.</t>
  </si>
  <si>
    <t xml:space="preserve">Most candidates understood the difference between the two measurements for the first mark, but many were unable to clearly explain why real GDP was preferable as a point of comparison. Many simply stated that it was better or more realistic without offering a reason and therefore gained only 1 mark.</t>
  </si>
  <si>
    <t xml:space="preserve">9708_w25_24_Q1c</t>
  </si>
  <si>
    <t xml:space="preserve">productivity, supply shift, costs of production</t>
  </si>
  <si>
    <t xml:space="preserve">Explain, with the help of a diagram, why an increase in productivity in US firms may reduce the price of their products and consider whether this will always be the outcome.</t>
  </si>
  <si>
    <t xml:space="preserve">• An increase in productivity suggests production is more efficient and will reduce costs. (1)
• This should have the effect of shifting the supply curve to the right as shown on an accurately labeled diagram. (1)
• The fall in price should be shown on the diagram, e.g., by an arrow or P1 P2, and linked to the increase in productivity. (1)
For evaluation 1 mark maximum:
An assessment why the price may not fall, e.g., because businesses decide not to pass the fall in potential price on to consumers and include the extra profit in their costs meaning the supply curve does not shift to the right or other costs increase to offset the improvement in productivity; due to perfectly elastic demand. (1)</t>
  </si>
  <si>
    <t xml:space="preserve">Most candidates gained good marks as the question was reasonably accessible. Good links were often made to the improvements in efficiency leading to a reduction in costs and a shift to the right of the supply curve and a fall in the price of products due to the increase in productivity. Attempts at evaluation were reasonable and normally linked to perfectly elastic demand although the question of whether firms would automatically pass on these falls in costs to consumers was often strangely ignored. The most common reason why marks were not awarded were the incorrect uses of macro diagrams as the impacts would not be on the whole economy nor the general price level. Other problems were a failure to evaluate at all or convincingly.</t>
  </si>
  <si>
    <t xml:space="preserve">9708_w25_24_Q1d</t>
  </si>
  <si>
    <t xml:space="preserve">costs of inflation, benefits of inflation</t>
  </si>
  <si>
    <t xml:space="preserve">Assess whether the costs of inflation are always likely to be greater than the benefits of inflation for the US.</t>
  </si>
  <si>
    <t xml:space="preserve">Up to 4 marks MAX for analysis of both benefits and costs
Up to 3 marks for analysis of the possible benefits of inflation, e.g., it may be a sign of economic growth and may encourage businesses to produce more and therefore reduce levels of unemployment etc. if the inflation rate is low and stable. Also, borrowers may gain.
Up to 3 marks for analysis of the possible costs of inflation, e.g., menu and shoe leather costs, lenders may lose, fiscal drag, reduced international competitiveness etc., if the inflation rate is high or becomes prolonged . This may result in reduced investment due to uncertainty.
Up to 2 marks for evaluation of positive and negative effects , e.g., it will depend on the level of inflation and whether it is likely to be prolonged. It also may depend on the rate of inflation in other countries. Reserve 1 mark for a justified conclusion.
Note: evaluation should be in the context of the US to gain any credit. For example, the data suggests that inflation in the US is largely the result of rising AD and less due to rising costs of production. Any valid evaluation must reflect this.</t>
  </si>
  <si>
    <t xml:space="preserve">9708_w21_22_Q4b (60%), 9708_w23_22_Q5b (70%), 9708_s25_24_Q4b (57%)</t>
  </si>
  <si>
    <t xml:space="preserve">Most candidates had a reasonable knowledge of the costs of inflation although the quality of the explanations was varied. For example, it can adversely affect living standards but only if the increase in earnings does not match the increase in prices meaning that not all the population are affected equally. The benefits, however, were often vague, e.g., inflation means economic growth when in fact it may only be a sign of a growing economy which may only be true if caused by growing AD but not if, for example, the cause is an increase in costs. Evaluation was often very weak and not in the context of the US. Candidates must remember that data is provided for a reason and should be used. In this case, the data clearly explained that inflation in the US was mainly caused by rising AD and not costs of production yet very few candidates referred to this and so gained 0 evaluation marks.</t>
  </si>
  <si>
    <t xml:space="preserve">9708_w25_24_Q1e</t>
  </si>
  <si>
    <t xml:space="preserve">high interest rates, contractionary monetary policy, inflation control, alternative policies</t>
  </si>
  <si>
    <t xml:space="preserve">Assess the extent to which maintaining interest rates at a high level will be the best policy for the US to control inflation.</t>
  </si>
  <si>
    <t xml:space="preserve">Up to 4 marks MAX for analysis of both advantages and disadvantages
Up to 3 marks for analysis of the possible advantages of maintaining interest rates at a high level, e.g., it is a contractionary demand policy that will reduce AD by reducing consumer expenditure and investment. This should lower inflationary pressure and keep inflation rates lower.
Up to 3 marks for analysis of the possible disadvantages, e.g., it may reduce economic growth and increase unemployment if the policy is maintained for a long period of time. It may reduce international competitiveness if it leads to an increase in exchange rates. It may also not be appropriate if the cause of inflation is due to cost push factors,
Up to 2 marks for evaluation of the advantages and disadvantages of maintaining interest rates at a high level to control inflation in the US. This may also include an assessment (although this is not essential) of other policies such as supply-side policy may be less damaging and fiscal policy. It also depends on the timescale. Reserve 1 mark for a justified conclusion.
Note: evaluation should be in the context of the US to gain any credit. For example, the data suggests that inflation in the US is largely the result of rising AD and less rising costs of production. Any valid evaluation must reflect this.</t>
  </si>
  <si>
    <t xml:space="preserve">9708_m23_22_Q1c (60%)</t>
  </si>
  <si>
    <t xml:space="preserve">This question was generally quite well answered in terms of the analysis. As with part (d) however, answers tended to be generic and not specific to the situation in the US as detailed in the case study. Once again, candidates are reminded of the need to use the information in the case study in order to answer questions specific to the country referred to in the case study. In this case, as it is clear that inflation is largely due to an excess of demand, this means that any evaluation needed to focus on this. This was rarely done, and evaluation marks were low.</t>
  </si>
  <si>
    <t xml:space="preserve">9708_w25_24_Q2a</t>
  </si>
  <si>
    <t xml:space="preserve">Explain what is meant by the incidence of an indirect tax and consider the extent to which it is possible for the incidence to pass from a producer of a good to a consumer of that good.</t>
  </si>
  <si>
    <t xml:space="preserve">Follow the point-based marking guidance at the top of this mark scheme and award: up to 3 marks for AO1 Knowledge and understanding up to 3 marks for AO2 Analysis up to 2 marks for AO3 Evaluation.
AO1 Knowledge and Understanding (max 3 marks)
Of the meaning of an indirect tax and the incidence of an indirect tax. Note: a diagram is NOT essential but can be used, with a separate explanation, to show what is meant by an indirect tax and/or the incidence.
• The incidence of tax refers to the extent of the burden/ proportion of tax borne by the producer and/ or consumer. (1)
• An indirect tax is a tax placed on goods or services. (1)
• It can be specific, i.e., a fixed amount per purchase or ad valorem, i.e., a % of the price charged by the retailer. (1)
• Allow references to the fact that it is seen as regressive if explained, OR accurate examples OR that it can be used to reduce consumption of demerit goods or raise revenue for governments. (1)
Award a maximum of two marks if no explanation of incidence.
AO2 Analysis (max 3 marks)
Of the possibility of passing the incidence from a producer to a consumer depending on PED. Note: a diagram is NOT essential but can be used, to assist an explanation in words, the possibility of passing the incidence from a producer to a consumer depending on PED.
• The indirect tax has the effect of raising the price of the product or service by shifting the supply curve to the left. (1)
• Analysis of the impact on the incidence if the PED is elastic. (1)
• Analysis of the impact on the incidence if the PED is inelastic. (1)
AO3 Evaluation (max 2 marks) The extent to which it is possible to pass the incidence of tax onto the consumer depends upon the PED.
For explained assessment that it is more possible to pass on the incidence of tax to the consumer if the PED is inelastic. Note: the second mark is reserved for a justified conclusion.
AO1 Knowledge and understanding: 3
AO2 Analysis: 3
AO3 Evaluation: 2</t>
  </si>
  <si>
    <t xml:space="preserve">This question was generally answered quite weakly. Although most candidates had a limited knowledge of what an indirect tax was and that it was sometimes used to limit consumption of demerit goods, a full understanding of what the term incidence meant was rare. As this was a crucial part of the question, marks were generally low as a result. Again, although candidates were often able to explain the effect of the tax on the price, usually through a diagram, full explanations of the impact of PED on the incidence were uncommon. Candidates must explain changes in demand by considering the percentage or proportionate changes resulting from percentage changes in price. It is not enough to say that for example, consumers pay more tax if the PED value is inelastic. This needs to be explained to gain credit for analysis and evaluation.</t>
  </si>
  <si>
    <t xml:space="preserve">9708_w25_24_Q2b</t>
  </si>
  <si>
    <t xml:space="preserve">3.2.2, 1.6.3, 3.1.2</t>
  </si>
  <si>
    <t xml:space="preserve">subsidy, merit good, consumption, opportunity cost</t>
  </si>
  <si>
    <t xml:space="preserve">Assess the extent to which a government should subsidise the production of merit goods to increase the consumption of these goods.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</si>
  <si>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 understanding of what is meant by a merit good and a subsidy and how this might increase the consumption of merit goods.
• An analysis of the advantages and disadvantages (effectiveness) of using a subsidy (including the limitations, e.g., imperfect information.)
• Advantages include the fact that subsidies lead to lower costs for producers which should lead to lower prices for consumers and therefore increased consumption whereas:
• Disadvantages include the cost to the government and imperfect information which may mean that consumption does not increase despite lower prices
• An analysis of the advantages and disadvantages of at least one alternative policy that may be used, e.g., information provision, direct provision, (together with their limitations.)
Level 1 responses will be assertive and lacking in explanations/mainly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policies/concepts, etc. and will be balanced. Explanations of points raised will be offered and will be accurate and relevant to the question.
AO3 Evaluation
That considers the extent to which a government should subsidise the production of merit goods to increase their consumption and arrives at a reasoned and justified conclusion.
A one-sided response cannot gain any marks for evaluation.
Accept all valid responses.
AO1 Knowledge and understanding and AO2 Analysis: 8
AO3 Evaluation: 4</t>
  </si>
  <si>
    <t xml:space="preserve">Many candidates clearly did not read this question carefully enough and focussed solely on the benefits of merit goods rather than considering whether they should be subsidised. The question was quite specifically asking them to assess the extent to which a government should subsidise merit goods to increase their consumption so an analysis of the advantages and disadvantages of using subsidies to do so was required. An analysis of the advantages and disadvantages of merit goods in general was not required and was irrelevant. Candidates were then expected to consider the advantages and disadvantages of at least one other method of increasing their consumption. Few candidates were able to do this, and so evaluation was very limited and very few got beyond level 2 analysis.</t>
  </si>
  <si>
    <t xml:space="preserve">9708_w25_24_Q3a</t>
  </si>
  <si>
    <t xml:space="preserve">PES determinants, agricultural goods, manufactured goods, time</t>
  </si>
  <si>
    <t xml:space="preserve">Explain what determines elastic and inelastic price elasticity of supply (PES) and consider the extent to which the value of PES may differ between an agricultural good and a manufactured good.</t>
  </si>
  <si>
    <t xml:space="preserve">Follow the point-based marking guidance at the top of this mark scheme and award: up to 3 marks for AO1 Knowledge and understanding up to 3 marks for AO2 Analysis up to 2 marks for AO3 Evaluation.
AO1 Knowledge and Understanding (max 3 marks)
• For an accurate definition (with reference to the responsiveness of supply to a % change in price) or formula for PES (1)
• For an explanation of what is meant by both an elastic and an inelastic PES (with reference to the responsiveness of supply to a % change in price) (1)
• An explanation of at least one factor that determines whether a good has an elastic or inelastic PES, e.g., time, stock levels, perishability (1)
AO2 Analysis (max 3 marks)
• An explanation of the factors that explain the PES for agricultural goods, e.g., an explanation that they are more likely to be inelastic due to, e.g. time taken to produce, the difficulty of holding stocks etc. (up to 2 marks)
• An explanation of the factors that explain the PES for manufactured goods, e.g., an explanation that the value may be more elastic due to, e.g. spare capacity, ability to store unfinished and finished goods, time taken to produce. (Up to 2 marks).
AO3 Evaluation (max 2 marks)
For an evaluation as to the extent that the value may differ , e.g., due to their perishable nature, agricultural goods may be more PES inelastic unless better ways can be found to store them. Note: the second mark is reserved for a justified conclusion.
AO1 Knowledge and understanding: 3
AO2 Analysis: 3
AO3 Evaluation: 2</t>
  </si>
  <si>
    <t xml:space="preserve">This question was the most popular in Section B and was generally well answered. Most candidates were able to explain what is meant by elastic and inelastic PES and provide reasons. Some candidates confusingly explained PED, presumably misreading the question. Difficulty remains however, in offering an understanding of elasticity in terms of the percentage response to a change in price and some candidates persist in referring to big or small changes that gains no credit. Again, in the analysis, most candidates could distinguish between agricultural and manufactured goods although some answers were far too vague meaning that meaningful evaluation was not possible. This question, however, saw some full mark answers although those who tried to include references to all elasticities in evaluation were not rewarded as this was irrelevant.</t>
  </si>
  <si>
    <t xml:space="preserve">9708_w25_24_Q3b</t>
  </si>
  <si>
    <t xml:space="preserve">YED, XED, business decisions, sales revenue</t>
  </si>
  <si>
    <t xml:space="preserve">Firms will often try to estimate elasticity values to judge the possible success of decisions to change prices or to introduce new products. Assess the extent to which an understanding of income elasticity of demand (YED) may be more useful than cross elasticity of demand (XED) in increasing the income from sales for a firm.</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</si>
  <si>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 understanding of the concepts of YED and XED.
• YED can be used to predict the demand for different categories of goods depending on changes in income.
• It can therefore be used to predict changes in possible sales revenue.
• XED can be used to predict changes in revenue depending on whether it is a complement or a substitute and the closeness of the relationship.
• It can then be used to predict sales revenue depending upon the actions of other businesses in setting their prices.
• An assessment of the limitations of both measures, e.g., they are estimates and will change over time.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Unless the answer is directly related to increasing the income from sales for a firm, then award a maximum of mid-Level 2 marks.
AO3 Evaluation Of the extent to which the knowledge of YED is more useful than XED in increasing sales revenue and arrives at a reasoned and justified conclusion.
A one-sided response cannot gain any marks for evaluation.
Accept all valid responses.
AO1 Knowledge and understanding and AO2 Analysis: 8
AO3 Evaluation: 4</t>
  </si>
  <si>
    <t xml:space="preserve">This type of question has been asked many times before and has rarely been answered well. The main reason is that candidates tend to use it to highlight all their knowledge and understanding of the elasticities being analysed rather than answering the question. In this case, the question was asking for an assessment of whether YED was more useful than XED for firms wishing to increase their income. Much time was wasted in unnecessary explanations of the elasticity values which could be dealt with quickly. Many candidates were able to link YED to production decisions and the state of the economy, but few pointed out that this depended on the ease of switching from one product to another. Most also understood XED but were unable to convincingly analyse how it could be used to raise income from sales. Consequently, the opportunities for evaluation marks were limited.</t>
  </si>
  <si>
    <t xml:space="preserve">9708_w25_24_Q4a</t>
  </si>
  <si>
    <t xml:space="preserve">6.2.1, 6.2.2, 6.2.3</t>
  </si>
  <si>
    <t xml:space="preserve">protectionism, tariffs, quotas</t>
  </si>
  <si>
    <t xml:space="preserve">Using two tools of protection, explain what is meant by protectionism and consider the extent to which these two tools may benefit an economy.</t>
  </si>
  <si>
    <t xml:space="preserve">Follow the point-based marking guidance at the top of this mark scheme and award: up to 3 marks for AO1 Knowledge and understanding up to 3 marks for AO2 Analysis up to 2 marks for AO3 Evaluation.
AO1 Knowledge and Understanding (max 3 marks)
• Protectionism is when governments seek to protect domestic industries from foreign competition. (1)
• Two examples of protectionism from import tariffs, import quotas, export subsidies, embargoes, and excessive administrative burdens (1)
• With some explanation as to how both tools protect domestic industries. (1)
AO2 Analysis (max 3 marks)
• For an explanation of the possible benefits of the selected tools to an economy, e.g., improve the current account, preserve strategic industries, maintain employment (1 per selected tool MAX 2 marks)
• For an explanation of the possible drawbacks of the selected tools to an economy, e.g., the policies may not work, e.g., because of elasticity values, retaliation by other countries. (1 per selected tool MAX 2 marks) 3 marks maximum for analysis.
Note: If only 1 tool is considered then 2 marks maximum.
AO3 Evaluation (max 2 marks)
For an assessment of the extent to which the selected examples may benefit an economy including possible drawbacks, e.g., retaliation. Note: the second mark is reserved for a justified conclusion.
AO1 Knowledge and understanding: 3
AO2 Analysis: 3
AO3 Evaluation: 2</t>
  </si>
  <si>
    <t xml:space="preserve">9708_s24_22_Q5a (58%)</t>
  </si>
  <si>
    <t xml:space="preserve">This was generally well answered by most candidates. However, some candidates were unable to clearly explain how the chosen methods of protection actually protected domestic firms from foreign competition. In terms of the benefits to an economy, some candidates examined the benefits to firms themselves and not the overall economy. The possible drawbacks, however, were often more weakly explained which limited opportunities for evaluation marks.</t>
  </si>
  <si>
    <t xml:space="preserve">9708_w25_24_Q4b</t>
  </si>
  <si>
    <t xml:space="preserve">6.1.1, 6.1.4, 6.2.3</t>
  </si>
  <si>
    <t xml:space="preserve">comparative advantage, trade decisions, strategic industries</t>
  </si>
  <si>
    <t xml:space="preserve">Assess the extent to which the principle of comparative advantage should be the main factor to consider when countries decide whether to trade with each other.</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</si>
  <si>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Knowledge and understanding of the principle of comparative advantage.
• An explanation of the main benefits, e.g., an efficient allocation of resources, an increase in world output and employment, lower world prices and better and a wider choice of products all derive from specialisation due to comparative advantage.
• An explanation of the limitations of the theory, e.g., the danger of over specialisation, high transport costs offsetting the benefits, possible increase in unemployment, maybe strategic problems.
Level 1 responses will be assertive and lacking in explanations/mainly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policies/concepts, etc. and will be balanced. Explanations of points raised will be offered and will be accurate and relevant to the question.
AO3 Evaluation
Of the extent to which comparative advantage should be the main determinant for international trade between countries, considering the importance of other factors, e.g. strategic, that arrives at a reasoned and justified conclusion.
A one-sided response cannot gain any marks for evaluation.
Accept all valid responses.
AO1 Knowledge and understanding and AO2 Analysis: 8
AO3 Evaluation: 4</t>
  </si>
  <si>
    <t xml:space="preserve">9708_s26_22_Q1e (71%)</t>
  </si>
  <si>
    <t xml:space="preserve">The principles of comparative advantage were often adequately explained but most candidates were often unable consider whether they justified international trade – particularly the extent to which other factors might need to be considered. Once again, this was an example of candidates showing knowledge and understanding of a concept but not being able to apply it to the question and led to much time being wasted on explanations of the mechanics of comparative advantage with unnecessary diagrams and tables. This limited many answers to level 1 analysis and did not allow for any evaluation.</t>
  </si>
  <si>
    <t xml:space="preserve">9708_w25_24_Q5a</t>
  </si>
  <si>
    <t xml:space="preserve">structural unemployment, cyclical unemployment, consequences</t>
  </si>
  <si>
    <t xml:space="preserve">Explain the difference between structural unemployment and cyclical unemployment and consider the extent to which structural unemployment is likely to be more damaging to an economy than cyclical unemployment.</t>
  </si>
  <si>
    <t xml:space="preserve">Follow the point-based marking guidance at the top of this mark scheme and award: up to 3 marks for AO1 Knowledge and understanding up to 3 marks for AO2 Analysis up to 2 marks for AO3 Evaluation.
AO1 Knowledge and Understanding (max 3 marks)
• Unemployment is a situation where people are willing and able to work but do not have a job. (1)
• Structural unemployment occurs due to structural changes in an economy because of changes in the pattern of supply and demand for products, services, and labour. (1)
• Cyclical unemployment occurs due to a lack of aggregate demand within an economy because of , e.g., a downturn in the economic cycle. (1)
AO2 Analysis (max 3 marks)
Analysis may focus on the following but must compare the two types. Note: if only one type is analysed, two marks max and no evaluation marks may be awarded.
• Structural unemployment may be more serious depending on the importance of the affected industry to an economy because it is more likely to be permanent.
• It can be focused on entire regions, whereas:
• Cyclical unemployment may be more serious as it affects the entire country.
• Both will lead to a loss of income and people affected are less likely to be able to find work.
AO3 Evaluation (max 2 marks)
For an assessment of which type is likely to be most serious and may consider the timescale, the ease of retraining (if structural), the number of people affected, etc. Note: the second mark is reserved for a justified conclusion.
AO1 Knowledge and understanding: 3
AO2 Analysis: 3
AO3 Evaluation: 2</t>
  </si>
  <si>
    <t xml:space="preserve">9708_s26_21_Q4a (65%)</t>
  </si>
  <si>
    <t xml:space="preserve">The two types of unemployment were usually adequately explained although a significant number of candidates confused cyclical unemployment with seasonal unemployment / frictional unemployment and were unable to clearly explain structural unemployment which was surprising. Candidates however, had difficulty in assessing the relative damage that each type may cause to an economy. Common responses stated that structural unemployment was less damaging as policies were relatively easy to implement or that cyclical unemployment was less damaging because the economic cycle would cure it when the economy grew. Both responses were too vague and unconvincing and led to little or no creditworthy evaluation.</t>
  </si>
  <si>
    <t xml:space="preserve">9708_w25_24_Q5b</t>
  </si>
  <si>
    <t xml:space="preserve">;5.4;4.5;5.1;</t>
  </si>
  <si>
    <t xml:space="preserve">5.4.4, 4.5.3, 5.1.1</t>
  </si>
  <si>
    <t xml:space="preserve">supply-side policy, low unemployment, demand-side alternatives</t>
  </si>
  <si>
    <t xml:space="preserve">Low unemployment is a macroeconomic policy objective for a government. Assess the extent to which this is most likely to be achieved by supply-side policy.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</si>
  <si>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 understanding of what is meant by supply side policy.
• Analysis of different types of supply side policy designed to reduce unemployment which may include training and education, reducing benefits, infrastructure development, reducing taxes
• Analysis of the limitations of such policies.
• Analysis of other policies such as fiscal and monetary policy designed to increase AD and may be more appropriate if unemployment is cyclical.
• Examples may include extra government spending and reducing income taxes together with reducing interest rates.
• Analysis of the limitations of alternative policies.
Level 1 responses will be assertive and lacking in explanations/mainly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etc. and will be balanced. Explanations of points raised will be offered and will be accurate and relevant to the question.
AO3 Evaluation Of the extent to which a low level of unemployment is most likely to be achieved by supply side policy and arrives at a reasoned and justified conclusion.
A one-sided response cannot gain any marks for evaluation.
Accept all valid responses.
AO1 Knowledge and understanding and AO2 Analysis: 8
AO3 Evaluation: 4</t>
  </si>
  <si>
    <t xml:space="preserve">Most candidates were able to offer some explanation of how supply side policies might reduce unemployment, but an understanding of why the policies might not succeed was often very limited. Some candidates, however, confuse supply and demand side policies which adversely affects the quality of analysis and makes any evaluation less convincing. There were, however, some very good answers that analysed the advantages and disadvantages of using supply side policies and compared them to other demand side policies. Good evaluation marks were given to those candidates who were able to provide analysis as to which policies worked best for different types of unemployment.</t>
  </si>
  <si>
    <t xml:space="preserve">9708_s26_21_Q1a</t>
  </si>
  <si>
    <t xml:space="preserve">real wages, money wages, nominal vs real</t>
  </si>
  <si>
    <t xml:space="preserve">Japan – inflation, low interest rates and growth</t>
  </si>
  <si>
    <t xml:space="preserve">‘One important development in 2023 was that for the first time in two years real wages increased in Japan.’ Using Table 1.1, explain by how much money wages would have to change in Japan in 2023 for real wages to increase.</t>
  </si>
  <si>
    <t xml:space="preserve">• Money wages would have to increase. (1)
• They would need to increase by more than 3.3%. (1)</t>
  </si>
  <si>
    <t xml:space="preserve">Comprehensive responses:
• Many candidates recognised that money wages would have to increase.
• Many candidates understood that the increase in money wages would have to be by more than 3.3% if there was to be an increase in real wages.
Limited responses:
• Some candidates simply stated that money wages would have to change without making it clear that this would need to be an increase.
• Some candidates believed that money wages would need to increase by 3.3% for real wages to have increased, although money wages would actually have needed to increase by more than 3.3% for there to have been a real increase in wages.</t>
  </si>
  <si>
    <t xml:space="preserve">9708_s26_21_Q1b</t>
  </si>
  <si>
    <t xml:space="preserve">tools of monetary policy, money supply, credit regulations</t>
  </si>
  <si>
    <t xml:space="preserve">Apart from interest rates, state two other tools of monetary policy that could be used in Japan to control inflation.</t>
  </si>
  <si>
    <t xml:space="preserve">• Money supply. (1)
• Credit regulations. (1)
• Accept the term ‘quantitative tightening’. (1)
• Exchange rates. (1)
Max: 2 marks</t>
  </si>
  <si>
    <t xml:space="preserve">Comprehensive responses:
• Many candidates correctly stated two other tools of monetary policy that could be used in Japan to control inflation, such as money supply, credit regulations or exchange rates.
• Many candidates stated a more general tool, such as quantitative tightening, and this was acceptable.
Limited responses:
• Some candidates confused fiscal policy and monetary policy and stated two tools of fiscal policy.
• A few candidates stated interest rates as a tool of monetary policy, not realising that the question had explicitly indicated that the two tools of monetary policy needed to be ‘apart from interest rates’.
• A few candidates stated ‘quantitative easing’ as a possible tool of monetary policy that could be used in Japan to control inflation rather than ‘quantitative tightening’.</t>
  </si>
  <si>
    <t xml:space="preserve">9708_s26_21_Q1c</t>
  </si>
  <si>
    <t xml:space="preserve">6.4.2, 6.4.3, 6.4.4</t>
  </si>
  <si>
    <t xml:space="preserve">exchange rate determination, depreciation, interest rates, currency demand and supply</t>
  </si>
  <si>
    <t xml:space="preserve">With the help of a diagram, explain how a decrease in the interest rate in Japan could lead to the depreciation in the value of the yen and consider whether only Japan’s interest rate determines the value of the yen.</t>
  </si>
  <si>
    <t xml:space="preserve">• Correct labelling of the two axes (the vertical axis needs to explicitly indicate a comparison with the value of another currency, but accept price of a currency or exchange rate, but not price by itself or price level).
• Correct shift of the demand curve to the left, leading to a lower equilibrium price and equilibrium quantity. (1)
Note: An approach through a change in the supply of the yen is an alternative, with the supply curve shifting to the right. Some candidates might offer a combination of the two changes.
Max: 1 mark for diagram
• Explanation of how a low interest rate could weaken the yen because there will be less of a desire to save in Japan because of lower rates of return. (1)
• Consideration of other possible factors that could determine the value of the yen, such as economic conditions, the rate of inflation, speculation, trade balances, investor confidence, stock exchange performance or government policies. (1)
Evaluation
Offers a valid judgement on whether only Japan’s interest rate determines the value of the yen. (1)</t>
  </si>
  <si>
    <t xml:space="preserve">Comprehensive responses:
• Many candidates explained how a decrease in the interest rate in Japan could lead to the depreciation in the value of the yen.
• Many candidates considered other possible factors that could help to determine the value of the yen.
• Many candidates included a diagram that correctly showed a shift of the demand or supply curve and that was correctly labelled.
Limited responses:
• Some candidates were unable to explain how a decrease in the interest rate in Japan could lead to the depreciation in the value of the yen.
• Some candidates did not consider other possible factors that could determine the value of the yen, apart from a change in the interest rate in Japan.
• Some candidates labelled the diagram incorrectly.
• A few candidates did not include a diagram, despite an explicit reference to ‘with the help of a diagram’ in the question.</t>
  </si>
  <si>
    <t xml:space="preserve">9708_s26_21_Q1d</t>
  </si>
  <si>
    <t xml:space="preserve">5.3.4, 4.3.3, 4.3.5</t>
  </si>
  <si>
    <t xml:space="preserve">low interest rates, aggregate demand, consumption, investment, confidence</t>
  </si>
  <si>
    <t xml:space="preserve">Assess whether low interest rates alone are likely to lead to an increase in aggregate demand in Japan.</t>
  </si>
  <si>
    <t xml:space="preserve">Up to 4 marks for explanation/analysis:
• Explanation/analysis of how low interest rates could lead to an increase in aggregate demand in Japan, by making borrowing cheaper which encourages consumers (private consumption) and firms (investment) to take out loans to finance expenditure. Low interest rates will also cause disposable income to rise. (Up to 3 marks)
• Explanation/analysis of other factors that could lead to an increase in aggregate demand in Japan, such as consumer confidence, levels of debt, an increase in government spending, an increase in net exports and changes in the broader economic environment. (Up to 3 marks)
Up to 2 marks for evaluation:
• Relevant evaluation which considers the impact of different factors affecting aggregate demand (1), to reach a conclusion on whether low interest rates alone are likely to lead to an increase in aggregate demand in Japan. (1)
Reserve 1 mark for a valid conclusion.</t>
  </si>
  <si>
    <t xml:space="preserve">Comprehensive responses:
• Many candidates explained how low interest rates could lead to an increase in aggregate demand in Japan.
• Many candidates analysed other possible factors that could lead to an increase in aggregate demand in Japan, apart from low interest rates.
• Many candidates included an evaluation of whether low interest rates alone were likely to lead to an increase in aggregate demand in Japan.
Limited responses:
• Some candidates were unable to clearly explain the likely impact of low interest rates on aggregate demand in Japan.
• Some candidates did not analyse any other factors, apart from interest rates, that might lead to an increase in aggregate demand in Japan.
• Some candidates did not reach a conclusion on whether low interest rates alone were likely to lead to an increase in aggregate demand in Japan.</t>
  </si>
  <si>
    <t xml:space="preserve">9708_s26_21_Q1e</t>
  </si>
  <si>
    <t xml:space="preserve">consequences of economic growth, inflation, inequality, environment</t>
  </si>
  <si>
    <t xml:space="preserve">Assess whether the potential advantages of the Japanese economy growing faster than expected would outweigh the potential disadvantages.</t>
  </si>
  <si>
    <t xml:space="preserve">Up to 4 marks for explanation/analysis:
• Potential advantages of the Japanese economy growing faster than expected, such as higher incomes, more jobs, higher living standards, reduced poverty and improved public services. (Up to 3 marks)
• Potential disadvantages of the Japanese economy growing faster than expected, such as a higher rate of inflation, greater inequality of income and wealth and environmental degradation and pollution. (Up to 3 marks)
Up to 2 marks for evaluation:
• Relevant evaluation of potential advantages and disadvantages of the Japanese economy growing faster than expected (1) to reach a conclusion on whether the potential advantages of the Japanese economy growing faster than expected would outweigh the potential disadvantages. (1)
Reserve 1 mark for a valid conclusion.</t>
  </si>
  <si>
    <t xml:space="preserve">Comprehensive responses:
• Many candidates explained the potential advantages of a relatively fast rate of economic growth in Japan, such as in relation to living standards.
• Many candidates analysed the potential disadvantages of the Japanese economy growing faster than expected, such as in relation to inflation.
• Many candidates included an evaluation of whether the potential advantages of the Japanese economy growing faster than expected would outweigh the potential disadvantages.
Limited responses:
• Some candidates were unable to clearly explain the potential advantages of a relatively fast rate of economic growth in Japan.
• Some candidates did not analyse any of the possible disadvantages of the Japanese economy growing faster than expected.
• Some candidates did not reach a conclusion on whether the potential advantages of the Japanese economy growing faster than expected would outweigh the potential disadvantages.</t>
  </si>
  <si>
    <t xml:space="preserve">9708_s26_21_Q2a</t>
  </si>
  <si>
    <t xml:space="preserve">public good, merit good, non-rival, non-excludable, health care</t>
  </si>
  <si>
    <t xml:space="preserve">Explain the difference between a public good and a merit good and consider whether health care should be classified as a public good or a merit good.</t>
  </si>
  <si>
    <t xml:space="preserve">Follow the point-based marking guidance at the top of this mark scheme and award: up to 3 marks for AO1 Knowledge and understanding up to 3 marks for AO2 Analysis up to 2 marks for AO3 Evaluation.
AO1 Knowledge and understanding (max 3 marks)
• A public good is distinct from a private good because it has the characteristics of being both non-rival (where consumption by one individual does not diminish the amount available for others to consume) and non-excludable (where individuals cannot be prevented from benefiting from a good, regardless of whether they have paid for it); it is therefore difficult, if not impossible, to charge a price for it due to the existence of the free rider problem; therefore it has to be provided by the state. (1)
• A merit good is a private good, but one which is likely to be under- produced and under-consumed in a market as a result of market failure, e.g. many of the people who would benefit from health care would have insufficient income to buy the service for themselves. (1)
• A clear explanation of the difference between the two types of good: a public good is non-rival and non-excludable whereas a merit good, in contrast, is rival and excludable. (1)
AO2 Analysis (max 3 marks)
• Health care is classified as a merit good because it is a private good with the characteristics of being both rival and excludable; it can therefore be provided through a market because it is possible to charge a price for it, although it can also be provided by the state.
• It is provided by the state because of the possibility of market failure where there is under-consumption of a merit good; state provision ensures that everyone likely to benefit from health care does so.
AO3 Evaluation (max 2 marks)
• Offers a valid judgement on whether health care should be classified as a public good or a merit good (1) to reach a conclusion. (1)
AO1 Knowledge and understanding: 3
AO2 Analysis: 3
AO3 Evaluation: 2</t>
  </si>
  <si>
    <t xml:space="preserve">9708_w23_22_Q3a (57%), 9708_s24_21_Q2a (62%), 9708_s24_22_Q3a (56%), 9708_w24_23_Q2a (56%), 9708_s25_22_Q2a (64%), 9708_w25_21_Q3b (61%), 9708_s26_23_Q3a (65%)</t>
  </si>
  <si>
    <t xml:space="preserve">Comprehensive responses:
• Many candidates explained the difference between a public good and a merit good in relation to the concepts of rivalry and excludability.
• Many candidates analysed the features and characteristics of health care, especially in relation to under-consumption and under-production.
• Many candidates included an evaluation of whether health care should be classified as a public good or a merit good.
Limited responses:
• Some candidates were unable to clearly explain the difference between a public good and a merit good, making no reference to the concepts of rivalry and excludability.
• Some candidates did not analyse the features and characteristics of health care and made no reference to under-consumption and under-production.
• Some candidates did not reach a conclusion on whether health care should be classified as a public good or a merit good.</t>
  </si>
  <si>
    <t xml:space="preserve">9708_s26_21_Q2b</t>
  </si>
  <si>
    <t xml:space="preserve">3.2.1, 3.2.6, 3.1.2, 1.6.4</t>
  </si>
  <si>
    <t xml:space="preserve">demerit good, indirect tax, information campaign, PED</t>
  </si>
  <si>
    <t xml:space="preserve">Assess whether the over-consumption of a demerit good should be reduced through the use of a tax or reduced through the use of a public information campaign.</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</si>
  <si>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The use of a tax: potential advantages and disadvantages of reducing the over-consumption of a demerit good through the use of a tax. For example, the tax will make it more expensive, possibly discouraging consumption, but there may not be much of an impact as demand is likely to be relatively price inelastic.
• The use of a public information campaign: potential advantages and disadvantages of reducing the over-consumption of a demerit good through the use of a public information campaign. For example, there is likely to be increased awareness of the potential dangers of over- consumption, but it could be expensive to organise such a campaign, giving rise to the concept of opportunity cost.
Level 1 responses will be assertive and lacking in explanations/mainly descriptive and/or mainly lacking in relevance to the question.
Level 2 responses may contain some inaccuracies and may be one sided. Analysis will be explained at least in part and will be largely relevant to the question.
Level 3 responses will consider alternative policies/concepts/arguments etc. and will be balanced. Explanations of points raised will be offered and will be accurate and relevant to the question.
AO3 Evaluation
• Consideration of both methods to arrive at a conclusion as to whether the over-consumption of a demerit good should be reduced through the use of a tax or reduced through the use of a public information campaign.
Accept all valid responses.
A one-sided response cannot gain any marks for evaluation.
AO1 Knowledge and understanding and AO2 Analysis: 8
AO3 Evaluation: 4</t>
  </si>
  <si>
    <t xml:space="preserve">Comprehensive responses:
• Many candidates explained the difference between the use of a tax and the use of a public information campaign as ways of reducing the over-consumption of a demerit good.
• Many candidates analysed the relative advantages and disadvantages of the two possible ways to reduce the over-consumption of a demerit good.
• Many candidates included an evaluation of which of these methods would be a better method to reduce the over-consumption of a demerit good.
[The published report repeats the Question 2(a) "Limited responses" bullets here, so they are left out.]</t>
  </si>
  <si>
    <t xml:space="preserve">9708_s26_21_Q3a</t>
  </si>
  <si>
    <t xml:space="preserve">income inequality, education and skills, technological change, discrimination</t>
  </si>
  <si>
    <t xml:space="preserve">Explain three economic reasons for the inequality of income in an economy and consider which one of these economic reasons is likely to be the most important.</t>
  </si>
  <si>
    <t xml:space="preserve">Follow the point-based marking guidance at the top of this mark scheme and award: up to 3 marks for AO1 Knowledge and understanding up to 3 marks for AO2 Analysis up to 2 marks for AO3 Evaluation.
AO1 Knowledge and understanding (max 3 marks)
Possible economic reasons for the inequality of income in an economy:
• Employment: there will be variations in the ability of people to access well-paid employment
• Government policy: there could have been a ‘wage freeze’ for public sector workers but not private sector workers
• Taxation: this could be made more or less progressive
• Technological change: technological advancement favours high-skilled, rather than low-skilled, workers widening the wage gap
• Globalisation: this could lead to reduced demand for low-skilled labour
• Education and skills: higher educational attainment and skill levels provide better job opportunities and higher wages
• Regional factors: income levels could vary in different regions
• Gender/race factors: there could be discrimination towards certain workers affecting their income
Note: 1 mark for each economic reason.
AO2 Analysis (max 3 marks)
A consideration of which one of the possible economic reasons is likely to be the most important and why. For example, individuals with higher education and specialised skills are likely to earn more than those without such qualifications and skills.
AO3 Evaluation (max 2 marks)
Offers a valid judgement on which one of these economic reasons is likely to be the most important reason for the inequality of income in an economy (1) to reach a conclusion. (1)
AO1 Knowledge and understanding: 3
AO2 Analysis: 3
AO3 Evaluation: 2</t>
  </si>
  <si>
    <t xml:space="preserve">Comprehensive responses:
• Many candidates explained three economic reasons for the inequality of income in an economy, such as in relation to taxation or to education and skills.
• Many candidates analysed why some of these economic reasons were more important than the others.
• Many candidates included an evaluation of which of these economic reasons was likely to be the most important.
Limited responses:
• Some candidates were unable to explain three economic reasons for the inequality of income in an economy.
• Some candidates did not analyse why some economic reasons might be more important than others.
• Some candidates did not reach a conclusion on which one of the economic reasons was likely to be the most important.</t>
  </si>
  <si>
    <t xml:space="preserve">9708_s26_21_Q3b</t>
  </si>
  <si>
    <t xml:space="preserve">3.3.4, 5.2.4</t>
  </si>
  <si>
    <t xml:space="preserve">redistribution, minimum wage, progressive income tax, informal economy</t>
  </si>
  <si>
    <t xml:space="preserve">Assess whether either a minimum wage or a progressive income tax is likely to be the more effective policy to redistribute income in an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</si>
  <si>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Potential advantages and disadvantages of a minimum wage as a policy to redistribute income in an economy, rather than allowing wages to be determined by the demand for, and the supply of, labour. For example, it will increase the pay of the lowest earners, but it could lead to a reduction in the number of jobs available. Also, in some countries, there may be a large informal economy and a minimum wage would not apply to such workers.
• Potential advantages and disadvantages of a progressive income tax as a policy to redistribute income in an economy. For example, it will tax those on higher incomes at a higher rate, taking a higher proportion of income and so providing funds for transfer payments, but it could lead to greater tax evasion.
Level 1 responses will be assertive and lacking in explanations/mainly descriptive and/or mainly lacking in relevance to the question.
Level 2 responses may contain some inaccuracies and may be one sided. Analysis will be explained at least in part and will be largely relevant to the question.
Level 3 responses will consider alternative policies/concepts/arguments etc. and will be balanced. Explanations of points raised will be offered and will be accurate and relevant to the question.
Note: There needs to be a clear focus on redistribution of income in relation to the two policies.
AO3 Evaluation
• Consideration of both methods to arrive at a conclusion as to whether a minimum wage or a progressive income tax is likely to be the more effective policy to redistribute income in an economy.
Accept all valid responses.
A one-sided response cannot gain any marks for evaluation.
AO1 Knowledge and understanding and AO2 Analysis: 8
AO3 Evaluation: 4</t>
  </si>
  <si>
    <t xml:space="preserve">9708_w24_23_Q3b (59%), 9708_s25_24_Q3b (63%)</t>
  </si>
  <si>
    <t xml:space="preserve">Comprehensive responses:
• Many candidates explained the key features of a minimum wage as a way of redistributing income in an economy.
• Many candidates analysed the key features of a progressive income tax as a way of redistributing income in an economy.
• Many candidates included an evaluation of which of these two policies was likely to be more effective in redistributing income in an economy.
Limited responses:
• Some candidates were unable to explain the key features of a minimum wage as a way of redistributing income in an economy.
• Some candidates did not analyse the key features of a progressive income tax as a way of redistributing income in an economy.
• Some candidates did not reach a conclusion as to whether a minimum wage or a progressive income tax was likely to be the more effective policy to redistribute income in an economy.</t>
  </si>
  <si>
    <t xml:space="preserve">9708_s26_21_Q4a</t>
  </si>
  <si>
    <t xml:space="preserve">frictional unemployment, structural unemployment, consequences of unemployment</t>
  </si>
  <si>
    <t xml:space="preserve">Explain the difference between frictional unemployment and structural unemployment and consider which is likely to be more damaging in an economy.</t>
  </si>
  <si>
    <t xml:space="preserve">Follow the point-based marking guidance at the top of this mark scheme and award: up to 3 marks for AO1 Knowledge and understanding up to 3 marks for AO2 Analysis up to 2 marks for AO3 Evaluation.
AO1 Knowledge and understanding (max 3 marks)
• Frictional unemployment as a type of unemployment and the causes of frictional unemployment: people who are between jobs in terms of search, casual and seasonal unemployment. (1)
• Structural unemployment as a type of unemployment and the causes of structural unemployment: people who are unemployed as a result of a change in demand in an economy, leading to a skills mismatch and the creation of declining industries. (1)
• Explanation of the difference between the two types of unemployment made clear and explicit. (1)
AO2 Analysis (max 3 marks)
• The reasons why one type of unemployment is likely to be more damaging in an economy.
• For example, frictional unemployment is likely to be relatively short- term and can be considered a natural feature of a dynamic economy.
• Structural unemployment, however, is likely to be a more long-term problem that could have a negative impact on economic growth.
AO3 Evaluation (max 2 marks)
• Offers a valid judgement on whether frictional unemployment or structural unemployment is likely to be more damaging in an economy (1) to reach a conclusion. (1)
AO1 Knowledge and understanding: 3
AO2 Analysis: 3
AO3 Evaluation: 2</t>
  </si>
  <si>
    <t xml:space="preserve">9708_s24_21_Q5a (69%), 9708_w25_21_Q4a (63%), 9708_w25_24_Q5a (65%)</t>
  </si>
  <si>
    <t xml:space="preserve">Comprehensive responses:
• Many candidates clearly explained the differences between the two types of unemployment, frictional and structural unemployment, stressing that one was likely to be relatively short-term and the other relatively long-term.
• Many candidates analysed the potentially negative effects of each type of unemployment on an economy.
• Many candidates included an evaluation of which of these two types of unemployment was likely to be more damaging in an economy.
Limited responses:
• Some candidates were unable to explain the differences between the two types of unemployment, often confusing the two types.
• Some candidates did not analyse the potentially negative effects of each type of unemployment on an economy.
• Some candidates did not reach a conclusion as to which type of unemployment was likely to be more damaging in an economy.</t>
  </si>
  <si>
    <t xml:space="preserve">9708_s26_21_Q4b</t>
  </si>
  <si>
    <t xml:space="preserve">;5.2;5.4;4.5;</t>
  </si>
  <si>
    <t xml:space="preserve">5.2.7, 5.4.3, 5.4.4, 4.5.3</t>
  </si>
  <si>
    <t xml:space="preserve">fiscal policy, supply-side policy, cyclical unemployment, structural unemployment</t>
  </si>
  <si>
    <t xml:space="preserve">Assess whether fiscal policy or supply-side policy is likely to be more effective in reducing unemployment in an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</si>
  <si>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The use of fiscal policy to reduce unemployment in an economy: government spending can be increased and levels of taxation can be decreased to stimulate the level of aggregate demand in an economy, stimulating economic activity leading to the creation of jobs and the reduction of unemployment. This would be likely to be more effective in reducing cyclical unemployment.
• The use of supply-side policy to reduce unemployment in an economy: this will lead to an improvement in labour market efficiency, enhancing the skills of the workforce and leading to the creation of jobs. For example, there could be an improvement in education and training, a reduction in the power of trade unions and a variety of tax incentives. This would be likely to be more effective in reducing structural unemployment.
Level 1 responses will be assertive and lacking in explanations/mainly descriptive and/or mainly lacking in relevance to the question.
Level 2 responses may contain some inaccuracies and may be one sided. Analysis will be explained at least in part and will be largely relevant to the question.
Level 3 responses will consider alternative policies/concepts/arguments etc. and will be balanced. Explanations of points raised will be offered and will be accurate and relevant to the question.
AO3 Evaluation
• Consideration of both methods to arrive at a conclusion as to whether fiscal policy or supply-side policy is likely to be more effective in reducing unemployment in an economy.
Accept all valid responses.
A one-sided response cannot gain any marks for evaluation.
AO1 Knowledge and understanding and AO2 Analysis: 8
AO3 Evaluation: 4</t>
  </si>
  <si>
    <t xml:space="preserve">Comprehensive responses:
• Many candidates explained the use of fiscal policy as a way of reducing unemployment in an economy and included appropriate examples of how this could be achieved, such as through an increase in government spending and/or a reduction in taxation.
• Many candidates analysed the use of supply-side policy as a way of reducing unemployment in an economy and included appropriate examples of how this could be achieved, such as through an increase in the provision of education and training or a reduction in the powers of trade unions.
• Many candidates included an evaluation of which of these two policies was likely to be more effective in reducing unemployment in an economy.
Limited responses:
• Some candidates were unable to explain how fiscal policy could be used to reduce unemployment in an economy.
• Some candidates did not analyse how supply-side policy could be used to reduce unemployment in an economy and sometimes appeared unclear about exactly what was meant by supply-side policy.
• Some candidates did not reach a conclusion as to whether fiscal policy or supply-side policy was likely to be more effective in reducing unemployment in an economy.</t>
  </si>
  <si>
    <t xml:space="preserve">9708_s26_21_Q5a</t>
  </si>
  <si>
    <t xml:space="preserve">embargo, export subsidy, tools of protection</t>
  </si>
  <si>
    <t xml:space="preserve">Explain the difference between trade embargoes and export subsidies and consider which is likely to be the more effective tool of protection.</t>
  </si>
  <si>
    <t xml:space="preserve">Follow the point-based marking guidance at the top of this mark scheme and award: up to 3 marks for AO1 Knowledge and understanding up to 3 marks for AO2 Analysis up to 2 marks for AO3 Evaluation.
AO1 Knowledge and understanding (max 3 marks)
• The use of trade embargoes as a tool of protection: these are complete bans on certain imported products so that it becomes impossible to purchase such products from particular countries. (1)
• The use of export subsidies as a tool of protection: these are payments by a government to domestic firms to help keep down the costs of production, encouraging firms to lower prices and so make the exports more competitive in international markets. (1)
• Explanation of the difference between the two tools of protection made clear and explicit. (1)
AO2 Analysis (max 3 marks)
• Consideration of which is likely to be more effective.
• Trade embargoes are often taken for political, rather than economic, reasons, completely prohibiting the import of products from particular countries. Embargoes can be comprehensive, partial/selective and unilateral/multilateral, but their disadvantage is that they may not always be imposed for purely economic reasons.
• Export subsidies, however, aim to increase the export of products, although the effect will depend on the price elasticity of demand for the exports. The advantage is that they can make domestic products more competitive in international markets, but their disadvantage is that they can distort international trade and contribute to domestic firms becoming less efficient.
AO3 Evaluation (max 2 marks)
• Offers a valid judgement on which is likely to be the more effective tool of protection (1) to reach a conclusion. (1)
AO1 Knowledge and understanding: 3
AO2 Analysis: 3
AO3 Evaluation: 2</t>
  </si>
  <si>
    <t xml:space="preserve">Comprehensive responses:
• Many candidates clearly explained the difference between trade embargoes and export subsidies as tools of protection.
• Many candidates analysed how each tool could be effective as a tool of protection.
• Many candidates included an evaluation of which was likely to be the more effective tool of protection.
Limited responses:
• Some candidates were unable to explain the difference between trade embargoes and export subsidies as a tool of protection.
• Some candidates did not analyse how each tool could be effective as a tool of protection.
• Some candidates did not reach a conclusion as to which tool was likely to be more effective in terms of protectionism.</t>
  </si>
  <si>
    <t xml:space="preserve">9708_s26_21_Q5b</t>
  </si>
  <si>
    <t xml:space="preserve">free trade, protectionism, infant industry, dumping, strategic industry</t>
  </si>
  <si>
    <t xml:space="preserve">Assess whether the arguments against protectionism are stronger than the arguments for protectionism.</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</si>
  <si>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The arguments against protectionism/for free trade. These might include:
• Free trade can lead to greater specialisation and, as a consequence, greater output.
• Resources are allocated more efficiently.
• Consumers have a wider range of products to choose from.
• This can lead to improved standards of living.
The arguments for protectionism/against free trade. These might include:
• Infant industry argument.
• Strategic industry argument.
• To prevent dumping.
• To reduce a current account deficit.
• To raise revenue for a government.
Level 1 responses will be assertive and lacking in explanations/mainly descriptive and/or mainly lacking in relevance to the question.
Level 2 responses may contain some inaccuracies and may be one sided. Analysis will be explained at least in part and will be largely relevant to the question.
Level 3 responses will consider alternative policies/concepts/arguments etc. and will be balanced. Explanations of points raised will be offered and will be accurate and relevant to the question.
AO3 Evaluation
• Consideration of both sides of the argument to arrive at a conclusion as to whether the arguments against protectionism are stronger than the arguments for protectionism.
Accept all valid responses.
A one-sided response cannot gain any marks for evaluation.
AO1 Knowledge and understanding and AO2 Analysis: 8
AO3 Evaluation: 4</t>
  </si>
  <si>
    <t xml:space="preserve">9708_s25_21_Q4b (64%)</t>
  </si>
  <si>
    <t xml:space="preserve">Comprehensive responses:
• Many candidates explained the various possible arguments against protectionism, such as the idea that free trade would be more likely to lead to a more efficient allocation of resources.
• Many candidates analysed the various possible arguments for protectionism, such as the prevention of dumping and the support for infant industries.
• Many candidates included an evaluation of which of these two sets of arguments was stronger than the other.
Limited responses:
• Some candidates were unable to explain the various possible arguments against protectionism and in favour of free trade.
• Some candidates were unable to analyse the various possible arguments for protectionism and against free trade.
• Some candidates did not reach a conclusion as to whether the arguments against protectionism were stronger than the arguments for protectionism.</t>
  </si>
  <si>
    <t xml:space="preserve">9708_s26_22_Q1a</t>
  </si>
  <si>
    <t xml:space="preserve">2.2.2</t>
  </si>
  <si>
    <t xml:space="preserve">PED calculation</t>
  </si>
  <si>
    <t xml:space="preserve">Australia – government support for nickel</t>
  </si>
  <si>
    <t xml:space="preserve">Using the data in Table 1.1, calculate the price elasticity of demand (PED) for nickel between 2022 and the forecast for 2024.</t>
  </si>
  <si>
    <t xml:space="preserve">For an answer between 1.9 and 2.3 (2)
For an answer that shows the correct formula i.e., % change in QD/ % change in P OR correct figures 17.2 (.0.2) / 8.2 ( 0.2) without the correct answer (1)
Guidance: % change in demand is 17.2% and % change in price is 8.2% (N.B., these figures are not required. The coefficient (i.e. the ‘minus’ sign is not necessary).</t>
  </si>
  <si>
    <t xml:space="preserve">Needs data removed from the published paper (copyright): the table/figure this part refers to is not in the public copy. | Mark scheme tolerance symbols (±) did not survive PDF extraction: shown as "(.0.2)" / "( 0.2)". Check against the PDF.</t>
  </si>
  <si>
    <t xml:space="preserve">Comprehensive responses:
• Many candidates used the correct price elasticity of demand (PED) formula and identified both percentage-change components clearly.
• Responses recognised that the calculation required changes between 2022 and the 2024 forecast.
Limited responses:
• Some candidates produced an incorrect formula often resulting in incorrect calculation.</t>
  </si>
  <si>
    <t xml:space="preserve">9708_s26_22_Q1b</t>
  </si>
  <si>
    <t xml:space="preserve">2.2.3, 2.2.4, 2.2.6</t>
  </si>
  <si>
    <t xml:space="preserve">PED interpretation, elastic vs inelastic, necessities</t>
  </si>
  <si>
    <t xml:space="preserve">State what this estimate suggests about the PED for nickel and why this estimate might be considered ‘highly unusual’.</t>
  </si>
  <si>
    <t xml:space="preserve">It shows that the PED value is elastic (1) Nickel is an essential item, and the value of PED would be expected to be inelastic (not elastic) (1)
Guidance: answers that refer to the fact that the percentage change in demand is greater than the percentage change in price can be accepted for the first mark, even if not specifically described as elastic. BUT do not accept answers that simply state the PED value is, for example, high or simply repeats the numbers without explicitly referring to the relative magnitudes.
For the second mark, the answer must refer to the essential nature of nickel and the fact that the value would be expected to be inelastic / % change in demand less than % change in price.</t>
  </si>
  <si>
    <t xml:space="preserve">Comprehensive responses:
• Many candidates stated that the estimate suggested elastic demand and explained that this was unusual for an essential raw material which would ordinarily be expected to be price inelastic in demand.
• Responses linked the unusual nature of the estimate to competitive pricing behaviour described in the extract.
Limited responses:
• Some candidates stated that demand was elastic without explaining why this was unusual.
• A few responses repeated the numerical value without interpreting it.
• Some candidates referred only to price changes without linking them to the nature of the good.</t>
  </si>
  <si>
    <t xml:space="preserve">9708_s26_22_Q1c</t>
  </si>
  <si>
    <t xml:space="preserve">;3.2;2.4;2.3;</t>
  </si>
  <si>
    <t xml:space="preserve">3.2.2, 2.4.2, 2.3.4</t>
  </si>
  <si>
    <t xml:space="preserve">subsidy, supply shift, PES, exports</t>
  </si>
  <si>
    <t xml:space="preserve">With the help of a demand and supply diagram, explain the effect of a subsidy on the production of nickel in Australia and consider whether the impact will always be as expected.</t>
  </si>
  <si>
    <t xml:space="preserve">For a fully accurate/clearly labelled diagram showing a shift to the right of the supply curve and the fall in the price of nickel and an increase in the quantity traded (1).
For an explanation that this may be caused by a fall in the cost of production because of the subsidy (1). Which will incentivise further production / increase quantity supplied / reduce the price of nickel / increase exports of nickel from Australia (1)
For some evaluation as to whether this will always be the outcome (1 max)
• E.g., producers may use the subsidy to increase profits so prices may not fall or output increase. If PES for nickel is inelastic then production may not increase as expected. If Australian nickel is still more expensive than other countries, exports may not increase. Other costs may rise and offset the effect of the subsidy.</t>
  </si>
  <si>
    <t xml:space="preserve">9708_m24_22_Q2a (63%)</t>
  </si>
  <si>
    <t xml:space="preserve">Comprehensive responses:
• Many candidates drew accurate demand and supply diagrams showing the subsidy as a downward shift of the supply curve for Australian nickel producers.
• Responses explained that the subsidy reduces production costs for Australian firms, allowing them to increase output and supply at each price.
• Many responses recognised that the impact may vary because Australia faces strong competition from Indonesia, whose lower labour costs and large inward investment give it a comparative advantage.
• Some candidates considered that the subsidy may help maintain domestic production and support self-sufficiency, which the extract identifies as a government objective.
Limited responses:
• Some diagrams omitted labels or did not show the supply curve shifting because of the subsidy.
• Some responses repeated information from the extract without applying economic reasoning to explain how the subsidy affects production.</t>
  </si>
  <si>
    <t xml:space="preserve">9708_s26_22_Q1d</t>
  </si>
  <si>
    <t xml:space="preserve">5.2.7, 4.3.12, 5.2.3</t>
  </si>
  <si>
    <t xml:space="preserve">government spending, aggregate demand, inflation, budget deficit, current account</t>
  </si>
  <si>
    <t xml:space="preserve">‘The Australian government plans a large increase in its spending.’ Assess the possible effects of a large increase in government spending by the government on the Australian economy.</t>
  </si>
  <si>
    <t xml:space="preserve">Up to 4 marks MAX for analysis
Up to 3 marks for analysis of the possible positive effects on the Australian economy e.g.:
• Higher government spending increases aggregate demand/shifts the AD curve to the right (1) raising real output and reducing unemployment. (1)
• Expansionary fiscal policy can move the economy towards equilibrium with higher national income. (1)
• Increased demand may encourage firms to expand output, supporting economic growth (1)
• A large increase in government spending may lead to an increase in productivity e.g., through education and training and subsidies. (1) This may lead to e.g., greater international competitiveness and increased exports etc. (1)
(1 mark per relevant explained point / up to 2 for a point developed through a chain of reasoning)
Up to 3 marks for analysis of the possible negative effects on the Australian economy e.g.:
• A rise in aggregate demand can cause inflation. (1)
• Higher government spending may increase the budget deficit. (1)
• This may lead to an increase in general taxation reducing the incentive to work / businesses to invest (1)
• Higher national income may increase imports, which can worsen the current account of the balance of payments (1)
Guidance:
• Do not accept opportunity cost as a counterpoint – the question is clearly asking about the large increase in government spending and not what it is being spent on. For example, the case study does state the additional spending is intended to help other industries as well without specifying which.
• Do not accept interest-free loans as a form of government spending.
(1 mark per relevant explained point / up to 2 for a point developed through a chain of reasoning)
Evaluation: Up to 2 marks for a relevant assessment of both positive and negative effects.
Reserve 1 mark for a justified conclusion clearly in the context of the Australian economy.</t>
  </si>
  <si>
    <t xml:space="preserve">Comprehensive responses:
• Many candidates explained how a large increase in government spending could support several macroeconomic objectives, linking these directly to the measures described in the extract.
• Responses explained how increased spending could raise aggregate demand, supporting the objective of economic growth.
• Several candidates noted that the extract refers to mine closures and jobs at risk and explained how government spending could help maintain employment in the nickel industry and related sectors, contributing to the objective of low unemployment.
• Many responses assessed affordability concerns raised in the extract and explained how these relate to the objective of fiscal sustainability.
Limited responses:
• Some candidates described government spending in general terms without linking it to the specific macroeconomic objectives relevant to the Australian context.
• A few responses repeated information from the extract, such as mine closures or Indonesia’s competitive pricing, without explaining how government spending relates to growth, employment or external stability.
• Some candidates listed macroeconomic objectives without connecting them to the spending measures outlined in the extract.
• Similarly, some responses did not consider the extract’s reference to affordability or the implications for fiscal sustainability.</t>
  </si>
  <si>
    <t xml:space="preserve">9708_s26_22_Q1e</t>
  </si>
  <si>
    <t xml:space="preserve">comparative advantage, specialisation, strategic industry, opportunity cost of subsidies</t>
  </si>
  <si>
    <t xml:space="preserve">Assess whether the principle of comparative advantage should be the only factor to consider when the Australian government decides whether to support the production of nickel.</t>
  </si>
  <si>
    <t xml:space="preserve">Up to 4 marks MAX for analysis
Up to 3 marks for analysis of the benefits of applying the principles of comparative advantage for example:
• Comparative advantage shows whether Australia can produce nickel at a lower opportunity cost than other countries (1) helping determine if production is efficient (1) which can lead to economic growth (1)
• Specialisation based on comparative advantage can increase total world output / make better use of scarce resources (1)
• If Australia has a comparative advantage, supporting nickel production may improve export performance and strengthen the current account (1) again leading to economic growth (1)
(1 mark per relevant explained point / up to 2 for a point developed through a chain of reasoning)
Up to 3 marks for analysis of the possible negative impact for example:
• Even if Australia lacks comparative advantage, the government may support nickel production for protectionist/strategic reasons such as safeguarding employment in the industry. (1)
• It may lead to overspecialisation (1) which means that other industries are overlooked or the country becomes reliant on other countries for imports (1).
• Changes in world prices or exchange rates can alter the terms of trade, affecting whether nickel production remains beneficial meaning comparative advantage is less important (1)
• Supporting nickel production may worsen the current account if inputs are imported or if government support increases spending without improving competitiveness, making comparative advantage less important (1).
• Even if Australia has comparative advantage, the opportunity cost of providing subsidies, the depletion of natural resources etc., will mean that supporting the nickel industry may not be the best solution (1).
Reward any valid suggestions.
(1 mark per relevant explained point / up to 2 for a point developed through a chain of reasoning).
Evaluation: Up to 2 marks for an evaluation of positive and negative effects. This must consist of a balanced judgement of the benefits and drawbacks of applying the principle of comparative advantage to the decision. Reserve 1 mark for a justified conclusion clearly in the context of the Australian economy.</t>
  </si>
  <si>
    <t xml:space="preserve">9708_w25_24_Q4b (71%)</t>
  </si>
  <si>
    <t xml:space="preserve">Comprehensive responses:
• Many candidates explained comparative advantage clearly and applied it to Indonesia’s position in the nickel market.
• Responses recognised that governments may consider strategic, employment or environmental factors in addition to comparative advantage.
• Several candidates provided balanced assessments of whether comparative advantage should be the sole criterion.
• Many responses linked the discussion to long-term economic objectives.
Limited responses:
• Some candidates described comparative advantage without applying it to the context.
• A few responses stated that comparative advantage was the only factor without explanation.
• Some candidates repeated definitions (including absolute advantage) rather than assessing the principle.</t>
  </si>
  <si>
    <t xml:space="preserve">9708_s26_22_Q2a</t>
  </si>
  <si>
    <t xml:space="preserve">1.6.2, 1.6.3, 3.2.6, 3.1.2</t>
  </si>
  <si>
    <t xml:space="preserve">public good, merit good, free-rider problem, provision of information, subsidy</t>
  </si>
  <si>
    <t xml:space="preserve">Explain, using examples, the difference between a public good and a merit good and consider the extent to which an increase in the provision of information on the benefits of a merit good is the best way to increase its consumption.</t>
  </si>
  <si>
    <t xml:space="preserve">Follow the point-based marking guidance at the top of this mark scheme and award: up to 3 marks for AO1 Knowledge and understanding up to 3 marks for AO2 Analysis up to 2 marks for AO3 Evaluation.
AO1 Knowledge and Understanding (max 3 marks) A public good has the characteristics of non-excludability and non-rivalry together with an accurate explanation of both/OR explains that these characteristics lead to the free-rider problem which will mean that they are unlikely to be supplied by the market economy as a price cannot be charged (1). An explanation that a merit good has the characteristics of rivalry and excludability (however these do not need to be fully explained if the characteristics of public goods have already been established)/ OR explains that these characteristics mean that merit goods can be supplied by the market economy because a price can be charged. (explaining how this differs from public goods) (1). Accurate examples of both e.g., streetlights and healthcare (1)
Guidance:
• Do not accept reference to merit goods being underprovided due to the lack of information as this does not explain the difference between public goods and merit good.
• Roads, and other quasi-public goods should not be accepted as public goods.
AO2 Analysis (max 3 marks) Merit goods are under consumed due to information failure / lack of awareness of their benefits (1). Therefore, one method of increasing their consumption/demand is for a government to increase the provision of information about their benefits (1).
However, they may still be under-provided (leading to an increase in price leading to problems of affordability) so at least one alternative method should be explained e.g., governments may subsidise them or directly provide them or make use of maximum prices to increase demand / consumption (1).
AO3 Evaluation (max 2 marks)
For a valid evaluation that provision of information is the best way to increase consumption Note: the second mark is reserved for a justified conclusion.
AO1 Knowledge and understanding: 3
AO2 Analysis: 3
AO3 Evaluation: 2</t>
  </si>
  <si>
    <t xml:space="preserve">9708_s26_23_Q3a (67%)</t>
  </si>
  <si>
    <t xml:space="preserve">Comprehensive responses:
• Responses made a direct comparison between the two types of goods in terms of rivalry and excludability.
• Many candidates explained how increased provision of information could raise consumption of merit goods by improving awareness of benefits and reducing information failure.
• Several responses recognised that information alone may not be sufficient if other barriers exist, such as affordability or access, and explained this clearly.
Limited responses:
• Some candidates described public goods and merit goods without making a clear comparison between them.
• Some candidates stated that information always increases consumption of merit goods without considering conditions such as income or availability.
• A few responses repeated definitions without applying them to the question’s requirement to consider the extent to which information provision is effective.</t>
  </si>
  <si>
    <t xml:space="preserve">9708_s26_22_Q2b</t>
  </si>
  <si>
    <t xml:space="preserve">;1.6;1.4;3.1;</t>
  </si>
  <si>
    <t xml:space="preserve">1.6.2, 1.4.1, 1.4.2, 3.1.1</t>
  </si>
  <si>
    <t xml:space="preserve">public goods, mixed economy, market economy, planned economy, free-rider problem</t>
  </si>
  <si>
    <t xml:space="preserve">Assess the extent to which the nature of public goods means that they can only ever be provided in a mixed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</si>
  <si>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For example:
• A mixed economy consists of a market economy with government intervention whereas a market economy has no government intervention/a command economy is one that is fully controlled by the government.
• Public goods are non-rival and non-excludable, meaning private firms cannot charge consumers, so they are unlikely to be provided in a market economy.
• The free-rider problem prevents private producers from covering costs, making government provision necessary to ensure public goods are available.
• A mixed economy allows the government to use taxation to finance public goods, ensuring they are provided at the level society needs.
However
• In lower-income economies, governments may lack the revenue to provide many public goods so provision may depend on international aid.
• Voluntary contributions or private organisations e.g., those that are socially motivated can supply certain public-good-type services without government involvement, meaning provision is not limited to a mixed economy.
• In a command economy, the government could provide all public goods without any private sector role, showing that a mixed economy is not the only possible system.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policies/concepts/arguments etc. and will be balanced. Explanations of points raised will be offered and will be accurate and relevant to the question.
AO3 Evaluation
That considers the extent to which public goods can only be produced in a mixed economy and arrives at a reasoned and justified conclusion.
A one-sided response cannot gain any marks for evaluation.
Accept all valid responses.
AO1 Knowledge and understanding and AO2 Analysis: 8
AO3 Evaluation: 4</t>
  </si>
  <si>
    <t xml:space="preserve">Comprehensive responses:
• Public goods were defined accurately using non-rivalry and non-excludability, and responses made a clear comparison with merit goods by explaining that merit goods are under-consumed due to information gaps rather than the free-rider problem.
• Candidates referred to other market structures by noting that public goods may be provided in centrally planned systems, where governments allocate resources directly, and in mixed economies, where the state intervenes to ensure provision when private markets do not.
• Responses identified that in a market economy, limited provision of public-good-type services can occur when firms are able to introduce mechanisms that allow exclusion, reducing the free-rider problem and making private provision commercially viable.
Limited responses:
• Some candidates repeated the definition of public goods without assessing provision.
• A few responses stated that only governments can provide public goods without explanation.
• Some candidates did not consider other economic systems.</t>
  </si>
  <si>
    <t xml:space="preserve">9708_s26_22_Q3a</t>
  </si>
  <si>
    <t xml:space="preserve">;2.4;2.2;2.1;</t>
  </si>
  <si>
    <t xml:space="preserve">2.4.1, 2.4.2, 2.2.3, 2.1.5</t>
  </si>
  <si>
    <t xml:space="preserve">market equilibrium, YED, normal good, inferior good, income</t>
  </si>
  <si>
    <t xml:space="preserve">Explain, with the help of a diagram, what is meant by market equilibrium and consider the extent to which changes in the level of consumer income will change the market price for a product.</t>
  </si>
  <si>
    <t xml:space="preserve">Follow the point-based marking guidance at the top of this mark scheme and award: up to 3 marks for AO1 Knowledge and understanding up to 3 marks for AO2 Analysis up to 2 marks for AO3 Evaluation.
AO1 Knowledge and Understanding (max 3 marks)
• For a fully accurate/correctly labeled diagram clearly showing the equilibrium point and equilibrium price and quantity traded. (1)
• An explanation that it represents the point where the quantity supplied is equal to the quantity demanded/where quantity demanded intersects quantity supplied. (1)
• And there is no tendency to change. (1)
AO2 Analysis (max 3 marks)
• For an explanation that the extent to which the price will change will depend upon the YED (1).
• For an explanation that if the good is a normal good then an increase/decrease in income will lead to an increase/decrease in the demand resulting in an increase/decrease in the price of the good (1).
• For an explanation that if the good is an inferior good then an increase/decrease in income will lead to a fall/rise in demand resulting in a fall/rise in the price of the good (1).
AO3 Evaluation (max 2 marks)
For an evaluation that the change in the market price will depend on whether it is a normal or inferior good and whether incomes rise or fall N.B. the second mark is reserved for a justified conclusion.
AO1 Knowledge and understanding: 3
AO2 Analysis: 3
AO3 Evaluation: 2</t>
  </si>
  <si>
    <t xml:space="preserve">Comprehensive responses:
• Many candidates drew clear and accurately labelled diagrams showing market equilibrium where quantity demanded equals quantity supplied and linked the diagram directly to the written explanation.
• Responses explained that changes in consumer income shift the demand curve and that the resulting impact on price depends on income elasticity of demand. Candidates recognised that demand for normal goods increases when income rises, causing equilibrium price to rise, while demand for inferior goods may fall, causing equilibrium price to fall.
• Candidates used income elasticity to explain why the size of the price change varies across different goods, noting that goods with higher positive income elasticity experience larger shifts in demand than goods with low– or negative-income elasticity.
Limited responses:
• Some candidates described market equilibrium without linking income changes to shifts in demand or explaining how the nature of the good influences the resulting price change.
• Such responses often stated that price would change when income changes but did not refer to income elasticity of demand or distinguish between normal and inferior goods.
• Some candidates repeated the diagram or definition of equilibrium without applying economic reasoning to explain why the size or direction of the price change varies across different types of goods.</t>
  </si>
  <si>
    <t xml:space="preserve">9708_s26_22_Q3b</t>
  </si>
  <si>
    <t xml:space="preserve">;3.2;3.1;2.2;2.3;</t>
  </si>
  <si>
    <t xml:space="preserve">3.2.4, 3.2.5, 3.2.1, 3.2.2, 3.1.3</t>
  </si>
  <si>
    <t xml:space="preserve">maximum price, minimum price, buffer stocks, excess demand, excess supply</t>
  </si>
  <si>
    <t xml:space="preserve">Assess the extent to which government intervention to control prices in a market can cause changes in both the amount of quantity demanded and quantity supplied of a product in that market.</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</si>
  <si>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Answers may focus on any of the following policies to control prices, for example:
• Maximum and minimum prices
• Indirect taxes and subsidies
• Buffer stock schemes
The discussion must focus on how such interventions cause changes in both the quantity demanded and quantity supplied of a product in that market.
For example,
• A maximum price set below equilibrium creates excess demand, increasing quantity demanded while reducing quantity supplied.
• A minimum price set above equilibrium creates excess supply, increasing quantity supplied while reducing quantity demanded.
• Price controls prevent the market from reaching equilibrium, so both quantity demanded and quantity supplied adjust to the new, distorted price. However.
• If the controlled price is set at or near the equilibrium price, quantities demanded and supplied may not change significantly.
• Government intervention may include measures such as subsidies or buffer stocks that offset the impact of price controls, limiting changes in quantities.
• Indirect taxes may reduce both the quantity demanded and quantity supplied e.g., of demerit goods.
• In markets with very inelastic demand or supply, price controls may have only a small effect on the actual quantities demanded or supplied.
Note: answers that only focus on a discussion of the impact on demand OR supply/ focus only on why changes in demand and supply may occur OR why changes in demand and supply may not occur cannot gain more than mid L2 marks.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policies/concepts/arguments etc. and will be balanced. Explanations of points raised will be offered and will be accurate and relevant to the question.
AO3 Evaluation That clearly assesses the extent to which such policies can change both the demand and supply for a product and reaches a reasoned and justified conclusion.
A one-sided response cannot gain any marks for evaluation.
Accept all valid responses.
AO1 Knowledge and understanding and AO2 Analysis: 8
AO3 Evaluation: 4</t>
  </si>
  <si>
    <t xml:space="preserve">Comprehensive responses:
• Many candidates explained how price controls affect quantity demanded and quantity supplied.
• Responses recognised that maximum prices may create shortages and minimum prices may create surpluses.
• Several candidates linked these outcomes to non-price rationing or excess supply.
• Many responses assessed the extent of changes using clear reasoning.
Limited responses:
• Some candidates described price controls without explaining changes in quantities.
• A few responses repeated definitions without applying them.
• Some candidates stated that all consumers benefit from lower prices without considering availability.</t>
  </si>
  <si>
    <t xml:space="preserve">9708_s26_22_Q4a</t>
  </si>
  <si>
    <t xml:space="preserve">;4.4;1.3;</t>
  </si>
  <si>
    <t xml:space="preserve">4.4.2, 4.4.3, 4.4.4, 1.3.1</t>
  </si>
  <si>
    <t xml:space="preserve">real GDP, nominal GDP, causes of growth, quantity vs quality of resources</t>
  </si>
  <si>
    <t xml:space="preserve">Explain why economic growth is usually measured using real GDP rather than nominal GDP and consider the extent to which an economy can only achieve economic growth by an increase in the quantity of its resources.</t>
  </si>
  <si>
    <t xml:space="preserve">Follow the point-based marking guidance at the top of this mark scheme and award: up to 3 marks for AO1 Knowledge and understanding up to 3 marks for AO2 Analysis up to 2 marks for AO3 Evaluation.
AO1 Knowledge and Understanding (max 3 marks)
It makes it easier to allow for valid comparisons of growth e.g. between different years. (1) Nominal economic growth / changes in GDP or GDP at current prices measures changes in terms of the prices operating in the year in which output is produced. (1) Real economic growth / changes in real GDP or GDP at constant prices measures changes in terms of prices adjusted for inflation (using the GDP deflator). (1)
AO2 Analysis (max 3 marks)
An increase in the quantity of resources may be the result of e.g.; more labour due to increased immigration and may increase production/economic growth. (1) An increase in the quality of resources may be the result of an improvement in technology which should then increase productivity/economic growth. (1) A discussion that e.g., suggests that resources are finite or cannot be relied upon in terms of their efficiency to provide economic growth and therefore the quality of resources is perhaps more important. (1)
AO3 Evaluation (max 2 marks)
For an assessment of the extent to which an economy can rely on the quantity of resources to provide economic growth. Note: the second mark is reserved for a justified conclusion.
AO1 Knowledge and understanding: 3
AO2 Analysis: 3
AO3 Evaluation: 2</t>
  </si>
  <si>
    <t xml:space="preserve">Comprehensive responses:
• Many candidates explained clearly why real GDP adjusts for changes in the price level.
• Responses recognised that nominal GDP may give a misleading impression of growth.
• Several candidates considered how growth may occur through improved efficiency or technology.
• Many responses linked resource quantity to long-term growth.
Limited responses:
• Some candidates confused the two types of inflation and omitted to explain why real GDP is regarded as a more accurate measure.
• Some candidates described GDP without distinguishing between real and nominal calculations.
• Some responses overlooked resource quality and confused economic growth with using more existing resources, rather than increasing the quantity of available resources.</t>
  </si>
  <si>
    <t xml:space="preserve">9708_s26_22_Q4b</t>
  </si>
  <si>
    <t xml:space="preserve">absolute claim (always/only/alone); benefits vs costs; to what extent</t>
  </si>
  <si>
    <t xml:space="preserve">benefits of growth, costs of growth, developing economies, environment</t>
  </si>
  <si>
    <t xml:space="preserve">Assess the extent to which the benefits of economic growth will always outweigh the costs for all economies.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</si>
  <si>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An explanation of the benefits of economic growth e.g.:
• More goods and services are available, which may raise living standards.
• A possible increase in levels of employment due to the increase in GDP. This may include a reduction in cyclical unemployment.
• A possible increase in tax revenue to allow for government spending e.g., on transfer payments, on merit goods and public goods etc.
• A possible increase in a country’s prestige and power.
An explanation of the costs of economic growth e.g.:
• It may be necessary to forego consumer spending for capital spending and therefore in the short run, living standards may not improve.
• It may cause unemployment if technology replaces jobs.
• It may be inflationary if AD exceeds AS
• It may cause the current account to be in deficit if it leads to an increase in imports
• It may cause pollution/ damage to the environment and a rapid depletion of resources.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policies/concepts/arguments etc. and will be balanced. Explanations of points raised will be offered and will be accurate and relevant to the question.
AO3 Evaluation That clearly assesses the costs and benefits of economic growth to arrive at a reasoned and justified conclusion whether it benefits all economies. This may include an assessment that it benefits developing economies more e.g., due to the need to bring more people out of poverty.
A one-sided response cannot gain any marks for evaluation.
Accept all valid responses.
AO1 Knowledge and understanding and AO2 Analysis: 8
AO3 Evaluation: 4</t>
  </si>
  <si>
    <t xml:space="preserve">9708_m24_22_Q5b (59%), 9708_s25_23_Q4b (64%)</t>
  </si>
  <si>
    <t xml:space="preserve">Comprehensive responses:
• Many candidates identified benefits such as higher living standards and increased employment.
• Responses recognised costs such as environmental pressures or inequality.
• Candidates assessed whether benefits outweigh costs in different contexts.
• Many responses linked the discussion to macroeconomic objectives.
Limited responses:
• Some candidates listed benefits and costs without assessment.
• A few responses stated that growth is always beneficial without explanation.
• Some candidates repeated general statements without applying them to different economies.</t>
  </si>
  <si>
    <t xml:space="preserve">9708_s26_22_Q5a</t>
  </si>
  <si>
    <t xml:space="preserve">circular flow, open economy, closed economy, injections, leakages</t>
  </si>
  <si>
    <t xml:space="preserve">With the help of a diagram, explain the circular flow of income in an open economy with government intervention and consider the extent to which the level of income in this economy may change following its transition to a closed economy.</t>
  </si>
  <si>
    <t xml:space="preserve">Follow the point-based marking guidance at the top of this mark scheme and award: up to 3 marks for AO1 Knowledge and understanding up to 3 marks for AO2 Analysis up to 2 marks for AO3 Evaluation.
AO1 Knowledge and Understanding (max 3 marks)
• A diagram showing consumer spending on goods and services to firms and income paid in return (as wages, interest, profit, and rent). (1)
• That shows/explains a leakage i.e., money that is withdrawn from the circular flow of income and in an open economy will consist of savings and taxes and imports (1)
• That shows/explains an injection i.e., money that is added to the circular flow of income and in an open economy will consist of investment and government spending and exports (1)
Guidance: The minimum requirement for the diagram is that it shows or explains income moving from firms to households and household expenditure moving from households to firms. Relevant leakages and injections can also be shown on the diagram OR in a separate explanation but must be clearly identified as such.
AO2 Analysis (max 3 marks)
• A transition to a closed economy will close it down to international trade and therefore reduce leakage caused by imports AND/OR (but also) any additional injection caused by exports. (1)
• Changes in the level of national income arise from the total amount of leakages not being equal to the total amount of injections. Total injections exceed total leakages, the level of national income rises and vice versa. (1)
• Therefore, if the expenditure on exports had previously exceeded the expenditure on imports, the level of national income may fall and vice versa. (1)
AO3 Evaluation (max 2 marks)
For an assessment as to the extent to which the level of national income may change is dependent on the changes in the level of injections and leakages because of the removal of international trade. N.B. the second mark is reserved for a justified conclusion.
AO1 Knowledge and understanding: 3
AO2 Analysis: 3
AO3 Evaluation: 2</t>
  </si>
  <si>
    <t xml:space="preserve">9708_s24_22_Q4a (55%)</t>
  </si>
  <si>
    <t xml:space="preserve">Comprehensive responses:
• Many candidates drew accurate and clearly labelled diagrams showing the circular flow of income in an open economy with government intervention, identifying households, firms, government, financial institutions and the external sector.
• Responses explained injections such as government spending, investment and export revenue, and leakages such as taxation, saving and import expenditure, linking these flows directly to changes in the level of income in the economy.
• Candidates considered how the transition to a closed economy removes injections from exports and leakages from imports and explained how this alters the balance between total injections and total leakages.
• Many responses recognised that the level of income may rise or fall depending on whether the remaining injections exceed leakages once trade flows are removed and linked this clearly to the diagram.
Limited responses:
• Some candidates described the circular flow of income without identifying injections and leakages or explaining how these flows influence the level of income in the economy.
• Several responses repeated the diagram without linking the transition to a closed economy to changes in injections and leakages, such as the removal of export revenue or import expenditure.
• Some candidates stated that income would change following the transition without explaining how the balance between injections and leakages determines whether income rises or falls.
• A few responses omitted government intervention or financial flows, which limited the explanation of how injections and leakages operate within the circular flow.</t>
  </si>
  <si>
    <t xml:space="preserve">9708_s26_22_Q5b</t>
  </si>
  <si>
    <t xml:space="preserve">;5.2;4.2;5.1;</t>
  </si>
  <si>
    <t xml:space="preserve">5.2.4, 5.2.5, 4.2.2, 5.1.1</t>
  </si>
  <si>
    <t xml:space="preserve">fiscal policy, injections, leakages, macroeconomic objectives, tariffs</t>
  </si>
  <si>
    <t xml:space="preserve">Assess the extent to which a government can use fiscal policy to influence leakages from and injections into the circular flow of income to achieve any two of its macroeconomic objectives.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</si>
  <si>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This may include knowledge and understanding that:
• The main government macroeconomic objectives are price stability, low unemployment and economic growth.
• What is meant by leakages and injections
• What is meant by fiscal policy
• Analysis of how fiscal policy can be used to influence leakages to influence two of these objectives together with the weaknesses of the policy.
For example:
• Import tariffs may be used to reduce leakages caused by imports and promote economic growth through an increase in X–M, but this may increase prices due to higher raw material costs. Taxation may be reduced to reduce leakages and promote economic growth through spending, but extra income may be saved, and this will mean economic growth is minimised.
• Analysis of how fiscal policy can be used to influence injections to influence two of these objectives together with the weaknesses of the policy.
For example:
• The government may increase its own spending to inject more money into the economy to boost employment, but this may lead to price instability because of demand-pull inflation and minimise any reduction in unemployment. However, this may lead to a budget deficit and this may make it difficult to influence leakages and injections in the future meaning macroeconomic objectives may not be met.
Note: analysis of alternative policies such as supply side policy or monetary policy is not required.
Answers that do not analyse the effect on at least 2 macroeconomic objectives or consider the strengths and weaknesses of fiscal policy in each case are unlikely to gain more than level 2 marks.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policies/concepts/arguments etc. and will be balanced. Explanations of points raised will be offered and will be accurate and relevant to the question.
AO3 Evaluation That clearly assesses the extent to which fiscal policy can be used to influence leakages from AND injections into the circular flow of income to help a government achieve two of its macroeconomic objectives and arrives at a reasoned and justified conclusion.
A one-sided response cannot gain any marks for evaluation.
Accept all valid responses.
AO1 Knowledge and understanding and AO2 Analysis: 8
AO3 Evaluation: 4</t>
  </si>
  <si>
    <t xml:space="preserve">Comprehensive responses:
• Many candidates explained how fiscal policy affects injections and leakages, noting that government spending increases injections while taxation influences leakages through disposable income.
• Candidates selected two macroeconomic objectives and showed how fiscal measures could support them, such as using spending to raise employment or adjusting taxation to influence price stability.
• Responses recognised that the effectiveness of fiscal policy depends on wider conditions such as confidence, spare capacity or the responsiveness of households and firms.
Limited responses:
• Some candidates described fiscal policy without linking spending or taxation to injections and leakages in the circular flow.
• Several responses named macroeconomic objectives without explaining how specific fiscal measures influence those objectives through changes in income flows.
• Some candidates repeated definitions without applying economic reasoning to assess how fiscal policy affects the selected objectives.</t>
  </si>
  <si>
    <t xml:space="preserve">9708_s26_23_Q1a</t>
  </si>
  <si>
    <t xml:space="preserve">data interpretation, market sales</t>
  </si>
  <si>
    <t xml:space="preserve">China/EU – exports of electric vehicles</t>
  </si>
  <si>
    <t xml:space="preserve">Use Table 1.1 to identify two changes in the global sales of EVs from 2020 to 2024.</t>
  </si>
  <si>
    <t xml:space="preserve">• Total global EV sales increased (from 2.6 million (2020)) to (15.6 million (2024)).
• China’s EV sales rose (from 0.8 million to 10.1 million).
• Europe’s EV sales increased (from 1.2 million to 2.8 million).
• US EV sales increased (from 0.4 million to 1.4 million).
• Rest of the world EV sales increased (from 0.2 million to 1.3 million).
Any two relevant changes can get 2 marks.</t>
  </si>
  <si>
    <t xml:space="preserve">9708_s23_23_Q1a (57%)</t>
  </si>
  <si>
    <t xml:space="preserve">Comprehensive responses:
• Candidates identified relevant changes in the data and expressed these clearly.
• Responses selected appropriate comparisons and described them accurately.
Limited responses:
• Some candidates repeated figures without identifying the changes.</t>
  </si>
  <si>
    <t xml:space="preserve">9708_s26_23_Q1b</t>
  </si>
  <si>
    <t xml:space="preserve">Give</t>
  </si>
  <si>
    <t xml:space="preserve">2.1.3, 6.2.2</t>
  </si>
  <si>
    <t xml:space="preserve">determinants of demand, tariffs</t>
  </si>
  <si>
    <t xml:space="preserve">Give two possible reasons why the demand for Chinese EVs in the EU has increased at a higher rate than such sales in the US.</t>
  </si>
  <si>
    <t xml:space="preserve">• Chinese EVs face high import tariffs in the US (increasing their effective price and reducing demand compared to the EU).
• Chinese EV models match European consumer preferences more closely than those of US consumers, increasing EU demand.
• US consumers have stronger security concerns about Chinese EVs, reducing their willingness to buy them.
• US consumers are more sceptical about net-zero targets (lowering their preference for EVs relative to European consumers).
• European consumers place a higher value on environmentally friendly vehicles, increasing demand for EVs.
• EU governments offer more generous subsidies for EV purchases, reducing the effective price and raising demand.
• European consumers expect stricter future restrictions on petrol and diesel cars, increasing current demand for EVs.
Any two relevant reasons can get 2 marks.</t>
  </si>
  <si>
    <t xml:space="preserve">Comprehensive responses:
• Responses explained economic reasons for differing demand patterns and linked these to preferences, policy differences or market conditions.
• Candidates applied contextual information to support their reasoning.
Limited responses:
• Some candidates listed reasons without explanation.</t>
  </si>
  <si>
    <t xml:space="preserve">9708_s26_23_Q1c</t>
  </si>
  <si>
    <t xml:space="preserve">;6.2;3.2;2.4;</t>
  </si>
  <si>
    <t xml:space="preserve">6.2.2, 3.2.2, 2.4.2</t>
  </si>
  <si>
    <t xml:space="preserve">export subsidy, supply shift, PED, PES</t>
  </si>
  <si>
    <t xml:space="preserve">With the help of a diagram, explain the effects of an export subsidy on the price and sales of imported Chinese EVs in the EU and consider an economic factor that could affect the size of any change.</t>
  </si>
  <si>
    <t xml:space="preserve">• For a clearly labelled diagram showing the shift to the right of the supply curve and the fall in the price of a Chinese vehicle imported into the EU and increase in the quantity traded (1).
• For an explanation that the subsidy reduces the market price of Chinese EVs (1).
• For an explanation that the lower price results in a rise of imported Chinese EVs in the EU
For some evaluation as to whether this will always be the outcome
• Explanation of a relevant factor affecting the size of the change (PED, PES, size of subsidy, non-price factors) (1)</t>
  </si>
  <si>
    <t xml:space="preserve">Comprehensive responses:
• Diagrams showed a clear rightward shift of the supply curve for Chinese EVs entering the EU market and linked this directly to the export subsidy reducing production costs for Chinese firms.
• Responses explained that the export subsidy lowered the market price of imported Chinese EVs and increased the quantity traded in the EU.
• Many candidates recognised that the size of the change depends on economic factors such as price elasticity, the scale of the subsidy or competitive pressures from EU producers.
• Several responses linked the analysis to the extract by noting that Chinese producers already benefit from lower costs, meaning the export subsidy could reinforce their competitive position.
Limited responses:
• Some diagrams omitted labels or did not show the supply curve shifting.
• Several responses repeated extract information about subsidies without applying economic reasoning to explain price or quantity changes.
• Some candidates described subsidies in general terms without linking them to the specific context of Chinese EVs entering the EU market.</t>
  </si>
  <si>
    <t xml:space="preserve">9708_s26_23_Q1d</t>
  </si>
  <si>
    <t xml:space="preserve">2.2.1, 2.2.8</t>
  </si>
  <si>
    <t xml:space="preserve">XED, substitutes, business decisions</t>
  </si>
  <si>
    <t xml:space="preserve">A German car manufacturer is concerned about losing sales of EVs in the EU market to imports of EVs from China. Assess the extent to which a knowledge of cross elasticity of demand (XED) might be of value to the German manufacturer when seeking to maintain sales in the EU market.</t>
  </si>
  <si>
    <t xml:space="preserve">Up to 3 marks for the advantages of knowledge of cross elasticity of demand might be of value to the German manufacturer when seeking to maintain sales in the EU market.
Possible responses may refer to:
• A correct definition/formula of XED (1). Understanding XED helps the German manufacturer see how sensitive demand for its EVs is to price changes in rival Chinese EVs (1), allowing more informed pricing decisions in the EV market (1).
• If XED shows strong substitutability, the manufacturer can invest in EV-specific differentiation (battery range, charging speed, software features) (1) to reduce the risk of customers switching to Chinese EVs (1).
• XED allows the firm to forecast how Chinese EV price cuts — often driven by lower production costs — will affect demand for its own EV models (1), improving production and inventory planning (1).
• XED helps the manufacturer identify which of its EV models face the highest substitution threat from Chinese competitors (1), enabling targeted product development and marketing within the EV segment (1).
(1 mark per relevant explained point / up to 2 for a point developed through a chain of reasoning)
Up to 3 marks for the advantages of knowledge of cross elasticity of demand might not be of value to the German manufacturer when seeking to maintain sales in the EU market.
Possible responses may refer to:
• XED focuses on price relationships only (1), but EV demand is heavily influenced by non-price factors (charging network access, software ecosystems, perceived reliability), which XED cannot capture for the manufacturer (1).
• Even with accurate XED data, the manufacturer may struggle to respond if Chinese EVs remain structurally cheaper due to lower battery costs (1), limiting the practical value of XED insights (1).
• XED estimates may be unreliable because the EV market is evolving rapidly (new models, new technologies) (1), making it difficult for the manufacturer to base decisions on stable relationships (1).
• The manufacturer may lack accurate, up-to-date information on Chinese EV pricing strategies (1) — especially in a market with frequent discounts — making real-world XED calculations difficult to apply (1).
(1 mark per relevant explained point / up to 2 for a point developed through a chain of reasoning)
Up to 2 marks for evaluation:
For an overall assessment of the extent whether the use of XED data would be of value to the German manufacturer when seeking to maintain sales in the EU market.
Reserve 1 mark for a valid conclusion.</t>
  </si>
  <si>
    <t xml:space="preserve">Comprehensive responses:
• Responses defined cross elasticity clearly and applied it to the relationship between German EVs and imported Chinese EVs.
• Candidates explained how knowledge of cross elasticity helps German manufacturers understand how sensitive demand for their EVs is to price changes in Chinese EVs.
• Many responses linked this to strategic decisions such as pricing, product differentiation or investment in features that reduce substitutability.
• Several candidates recognised that cross elasticity helps German firms anticipate how Chinese price reductions, driven by lower production costs, could affect demand for domestic EVs.
Limited responses:
• Some candidates stated the definition without applying it to the competitive relationship between German and Chinese EVs.
• Several responses listed points without developing them or linking them to the EU EV market.
• Some candidates repeated general statements about competition without using cross elasticity to explain demand relationships.</t>
  </si>
  <si>
    <t xml:space="preserve">9708_s26_23_Q1e</t>
  </si>
  <si>
    <t xml:space="preserve">;6.3;4.5;4.3;6.1;</t>
  </si>
  <si>
    <t xml:space="preserve">6.3.3, 4.5.3, 4.3.5</t>
  </si>
  <si>
    <t xml:space="preserve">imports, current account, structural unemployment, consumer benefits</t>
  </si>
  <si>
    <t xml:space="preserve">Assess the impact of increased sales of Chinese EVs on the economy of a major EU car manufacturing country such as Germany.</t>
  </si>
  <si>
    <t xml:space="preserve">Up to 3 marks for an analysis of the negative impact of increased sales of Chinese EV’s on the economy of a major EU car manufacturing country such as Germany.
Possible responses may refer to:
• Higher sales of Chinese EVs reduce demand for German-made vehicles, lowering domestic output (1). This can reduce Germany’s GDP and weaken short-run aggregate demand (1).
• Buying more Chinese EVs increases Germany’s imports, causing money to flow out of the economy (1). This worsens the current account balance (1).
• Reduced sales of German EVs may force domestic producers to cut production or delay investment (1). This can lead to job losses in car manufacturing and supply-chain industries, raising unemployment (1).
• As Chinese EVs take market share, German carmakers earn lower profits, reducing corporation tax and VAT revenue for the government (1). This weakens Germany’s fiscal position/may limit its ability to fund public services or invest in long-run economic growth (1).
(1 mark per relevant explained point / up to 2 for a point developed through a chain of reasoning)
Up to 3 marks for an analysis of the positive impact of increased sales of Chinese EV’s on the economy of a major EU car manufacturing country such as Germany.
Possible responses may refer to:
• More Chinese EVs in the German market increase competitive pressure on domestic firms (1). This encourages German producers to innovate and raise efficiency, supporting long-run economic growth (1).
• Chinese EVs are often cheaper, allowing households to buy vehicles at lower cost (1). This increases real disposable income and improves living standards as consumers can spend more elsewhere (1).
• Higher sales of Chinese EVs increase demand for installation, maintenance and charging-infrastructure services in Germany (1). This may result in the creation of new jobs/reducing unemployment (1).
• Stronger EV demand may encourage the German government to continue investing in green infrastructure (such as charging networks and renewable energy) (1), which can stimulate wider economic activity and support long-term growth (1).
(1 mark per relevant explained point / up to 2 for a point developed through a chain of reasoning)
Up to 2 marks for evaluation:
For an overall assessment of the impact of increased sales of Chinese EV’s on the economy of a major EU car manufacturing country such as Germany.
Reserve 1 mark for a valid conclusion.</t>
  </si>
  <si>
    <t xml:space="preserve">Comprehensive responses:
• Responses explained how increased sales of Chinese EVs in the EU could reduce demand for domestically produced EVs in countries such as Germany, leading to lower output and employment in related industries.
• Candidates recognised that higher imports could influence the current account and reduce tax revenue from domestic producers.
• Several responses explained that stronger competition may encourage domestic firms to innovate, improve efficiency or invest in new technologies, supporting long-term growth.
• Many candidates linked the analysis to wider macroeconomic conditions, noting that the impact depends on how domestic producers respond and how consumers adjust their spending.
Limited responses:
• Some candidates listed impacts without explanation or without linking them to the EV market.
• Several responses repeated extract information about Chinese EV sales without applying economic reasoning.
• Some candidates described general macroeconomic effects without relating them to the specific context of a major EU car-manufacturing country.</t>
  </si>
  <si>
    <t xml:space="preserve">9708_s26_23_Q2a</t>
  </si>
  <si>
    <t xml:space="preserve">2.1.3, 2.1.5</t>
  </si>
  <si>
    <t xml:space="preserve">determinants of demand, tastes, income, substitutes</t>
  </si>
  <si>
    <t xml:space="preserve">Pomegranates are a ‘superfood’ that are becoming more popular because of their health benefits. Consequently, they sell for a higher price than most other fruit. Excluding price, explain three other possible determinants of demand for pomegranates and consider which of these determinants is likely to be most important in explaining an increasing demand for them.</t>
  </si>
  <si>
    <t xml:space="preserve">Follow the point-based marking guidance at the top of this mark scheme and award: up to 3 marks for AO1 Knowledge and understanding up to 3 marks for AO2 Analysis up to 2 marks for AO3 Evaluation.
AO1 Knowledge and Understanding (max 3 marks)
For identifying and explaining three non-price determinants of demand, such as:
• Changes in consumer tastes and preferences, for example increased awareness of health benefits (1).
• Changes in consumer incomes, affecting demand for normal goods like pomegranates (1).
• Change in the prices of substitutes or complements, such as berries or other fruits consumers may switch between (1).
Note: Do not accept reference to pomegranates being an inferior good and demand rising due to a fall in income.
AO2 Analysis (max 3 marks)
For explaining how each determinant could increase demand for pomegranates:
• Greater awareness of health benefits can shift consumer preferences, increasing demand at every price (1).
• Rising incomes increase demand if pomegranates are viewed as a normal or luxury fruit (1).
• If the price of substitutes such as blueberries rises, consumers may switch to pomegranates, increasing demand (1).
• Some recognition of why at least one of the determinants may be more relevant than another (1)
AO3 Evaluation (max 2 marks)
For a valid evaluation that which determinant is likely to be the most important. Note: the second mark is reserved for a justified conclusion.
AO1 Knowledge and understanding: 3
AO2 Analysis: 3
AO3 Evaluation: 2</t>
  </si>
  <si>
    <t xml:space="preserve">Comprehensive responses:
• Responses identified three non-price determinants of demand and explained how each could influence demand for pomegranates in the context of rising interest in health foods.
• Candidates linked changes in tastes to increased awareness of health benefits and explained how this could shift demand even when price remains unchanged.
• Many responses applied income changes to the context by explaining that pomegranates may be viewed as a normal good with premium qualities.
• Candidates recognised that changes in the prices of substitutes could influence demand and applied this to consumer switching between fruits.
Limited responses:
• Some candidates listed determinants without explaining how they influence demand for pomegranates.
• A few responses repeated general definitions without applying them to the context of a fruit gaining popularity due to health benefits.
• Some candidates omitted examples or did not consider the relative significance of the determinants.
• A few responses described determinants that were not relevant to the context.</t>
  </si>
  <si>
    <t xml:space="preserve">9708_s26_23_Q2b</t>
  </si>
  <si>
    <t xml:space="preserve">;2.4;2.2;2.5;</t>
  </si>
  <si>
    <t xml:space="preserve">2.4.2, 2.2.7, 2.5.2</t>
  </si>
  <si>
    <t xml:space="preserve">supply restriction, PED, total revenue, producer surplus</t>
  </si>
  <si>
    <t xml:space="preserve">Assess the extent to which restricting the supply of pomegranates may benefit small producers.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</si>
  <si>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Analysis of the extent to which restricting the supply of pomegranates may benefit small producers. Reponses may include:
• A restriction in supply shifts the market supply curve left, raising the equilibrium price and increasing revenue for small producers if demand is relatively price inelastic.
• Higher prices increase producer surplus, as the gap between the market price and the minimum acceptable price widens, improving the financial position of small producers.
• Supply restrictions reduce competitive pressure from larger producers, making it easier for small producers to sell their output without being undercut by firms with lower costs.
• Higher and more stable prices may help small producers cover their relatively higher costs of production, improving their ability to remain in the market.
Analysis of the extent to which restricting the supply of pomegranates may not benefit small producers Reponses may include:
• If demand is price elastic, higher prices may cause a proportionately larger fall in quantity demanded, reducing revenue and producer surplus for small producers.
• Consumers may switch to substitutes such as blueberries or other fruits, limiting the gains from higher prices and reducing the market share of small producers.
• Compliance with supply restrictions may impose administrative or regulatory costs that small producers struggle to absorb compared to larger firms.
• A significant reduction in total output may prevent small producers from spreading fixed costs, raising average costs and reducing profitability.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concepts/arguments etc. and will be balanced. Explanations of points raised will be offered and will be accurate and relevant to the question.
AO3 Evaluation (max 4 marks) Consideration of the extent to which restricting the supply of pomegranates may benefit small producers, leading to a justified conclusion based on the preceding analysis.
Accept all valid responses.
A one-sided response cannot gain any marks for evaluation.
AO1 Knowledge and understanding and AO2 Analysis: 8
AO3 Evaluation: 4</t>
  </si>
  <si>
    <t xml:space="preserve">Comprehensive responses:
• Responses explained how restricting supply could raise market price and increase revenue for small producers when demand remains strong due to the fruit’s perceived health benefits.
• Candidates linked supply restrictions to higher producer surplus and reduced competitive pressure from larger producers, applying this directly to the context.
• Many responses recognised that benefits depend on demand conditions, noting that consumers who value health benefits may continue purchasing despite higher prices.
• Candidates explained conditions under which gains may be limited, such as the presence of close substitutes or elastic demand.
Limited responses:
• Some candidates described supply restrictions without linking them to market outcomes for small producers.
• Some candidates focused on general statements rather than the specific situation of small producers in the pomegranate market.
• A few responses omitted discussion of conditions under which benefits may not occur.</t>
  </si>
  <si>
    <t xml:space="preserve">9708_s26_23_Q3a</t>
  </si>
  <si>
    <t xml:space="preserve">1.6.1, 1.6.2</t>
  </si>
  <si>
    <t xml:space="preserve">public good, private good, non-rejectability, non-excludable</t>
  </si>
  <si>
    <t xml:space="preserve">Explain, with examples, the difference between a public good and a private good and consider the extent to which public goods cannot be rejected by consumers.</t>
  </si>
  <si>
    <t xml:space="preserve">Follow the point-based marking guidance at the top of this mark scheme and award: up to 3 marks for AO1 Knowledge and understanding up to 3 marks for AO2 Analysis up to 2 marks for AO3 Evaluation.
AO1 Knowledge and Understanding (max 3 marks).
A public good has the characteristics of non-excludability, non-rivalry and non- rejectability together with an accurate explanation of 2 of these/OR explains that these characteristics lead to the free-rider problem which will mean that they are unlikely to be supplied by the market economy as a price cannot be charged (1).
An explanation that a private good has the characteristics of rivalry, excludability and rejectability (however these do not need to be fully explained if the characteristics of public goods have already been established)/OR explains that these characteristics mean that private goods can be supplied by the market economy because a price can be charged. (explaining how this differs from public goods) (1).
For appropriate example of both goods, e.g. national defence as a public good and a bottle of water as a private good (1).
AO2 Analysis (max 3 marks)
Public goods are non-excludable, meaning that once they are provided, individuals automatically receive the benefit and cannot avoid consumption even if they would prefer not to (1). (For example, once national defence is supplied, all individuals are protected regardless of their preferences.)
The way public goods are provided means people receive them as a group rather than individually, so there is no practical way for someone to opt out. Unlike private goods, there is no mechanism to stop unwilling consumers from benefiting (1).
The extent of non-rejectability varies depending on the good. Pure public goods such as street lighting or flood defences cannot be rejected at all, while goods with public-good characteristics may allow limited avoidance, meaning non-rejectability is not absolute in every case (1).
AO3 Evaluation (max 2 marks)
That clearly considers extent to which public goods cannot be rejected by consumers. Note: the second mark is reserved for a justified conclusion.
AO1 Knowledge and understanding: 3
AO2 Analysis: 3
AO3 Evaluation: 2</t>
  </si>
  <si>
    <t xml:space="preserve">9708_w23_22_Q3a (64%), 9708_s24_21_Q2a (60%), 9708_s25_22_Q2a (62%), 9708_s26_21_Q2a (65%), 9708_s26_22_Q2a (67%)</t>
  </si>
  <si>
    <t xml:space="preserve">Comprehensive responses:
• Responses explained the characteristics of public and private goods clearly and used examples relevant to the question.
• Candidates recognised that non-rejectability means individuals cannot avoid consumption once a public good is provided and applied this to examples such as national defence.
• Many responses explained that the extent of non-rejectability varies depending on how the good is delivered.
• Explanations linked characteristics to implications for consumption and provision.
Limited responses:
• Some candidates repeated definitions without linking them to the requirement to consider non- rejectability.
• Several responses omitted examples or did not consider the extent to which public goods cannot be rejected.
• Some candidates described characteristics without explaining their implications for consumers.
• A few responses focused only on definitions and did not address the question’s requirement.</t>
  </si>
  <si>
    <t xml:space="preserve">9708_s26_23_Q3b</t>
  </si>
  <si>
    <t xml:space="preserve">;3.3;3.2;1.6;</t>
  </si>
  <si>
    <t xml:space="preserve">3.3.4, 3.2.3, 1.6.2, 1.6.3</t>
  </si>
  <si>
    <t xml:space="preserve">income distribution, merit goods, public goods, state provision</t>
  </si>
  <si>
    <t xml:space="preserve">Assess whether increased government spending on either merit goods or public goods will always have a positive effect on the distribution of income in an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</si>
  <si>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Analysis of whether increased government spending on merit goods has a positive effect on the distribution of income in an economy:
• Increased spending on merit goods such as education and healthcare can improve access for lower-income households, helping to reduce income inequality over time.
• Merit goods are under-consumed due to information failure, so government spending can correct this and raise the welfare of poorer groups who would otherwise consume too little.
• Better access to education and healthcare can increase the earning potential of lower-income individuals, improving the long-run distribution of income.
BUT
• Higher-income households may capture a larger share of the benefits if they are better placed to access or use the services, limiting the redistributive effect.
• Increased spending may raise quality in areas already well served, meaning middle-income groups may gain more than the poorest.
• If spending is not targeted, the improvement in income distribution may be small, as merit goods do not automatically benefit low-income households more than others.
Analysis of whether increased government spending on public goods has a positive effect on the distribution of income in an economy:
• Spending on public goods such as street lighting or national defence benefits all households, including low-income groups who could not afford them privately.
• Public goods raise the baseline level of welfare for everyone, which can indirectly support poorer households by reducing exposure to risk or harm.
• Some public goods, such as flood defences in vulnerable areas, may disproportionately help lower-income groups if they are more exposed to certain risks.
BUT
• Public goods are non-excludable, so benefits are shared equally across income groups, meaning the direct effect on income distribution is limited.
• Higher-income households may benefit more if public goods raise property values or business activity in wealthier areas.
• Public goods cannot be targeted at specific groups, so increased spending may have little impact on reducing inequality compared with targeted merit-good spending.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concepts/arguments etc. and will be balanced. Explanations of points raised will be offered and will be accurate and relevant to the question.
AO3 Evaluation
Evaluation that leads to a conclusion whether increased government spending on either merit goods or public goods always has a positive effect on the distribution of income in an economy.
A response that does not consider the advantages and disadvantages of government spending on merit goods or public goods cannot gain any marks for evaluation.
Accept all valid responses.
AO1 Knowledge and understanding and AO2 Analysis: 8
AO3 Evaluation: 4</t>
  </si>
  <si>
    <t xml:space="preserve">Comprehensive responses:
• Responses explained how increased government spending on merit goods could improve access for lower-income households and support long-term earning potential.
• Candidates linked spending on merit goods to the correction of information gaps and applied this to goods that may be underconsumed without intervention.
• Many responses explained that spending on public goods benefits all groups but may not always change income distribution significantly.
• Candidates recognised conditions under which spending may support more equal outcomes, such as targeted provision or addressing barriers to access.
Limited responses:
• Some candidates listed effects without explanation.
• A minority of responses described spending without linking it to distributional outcomes.
• Some candidates omitted discussion of conditions under which spending may have limited impact.
• A few responses focused only on definitions and did not address the question’s requirement.</t>
  </si>
  <si>
    <t xml:space="preserve">9708_s26_23_Q4a</t>
  </si>
  <si>
    <t xml:space="preserve">With the help of a diagram(s), explain how increases in aggregate demand affect the level of real output and the price level in an economy and consider when such increases may become a problem.</t>
  </si>
  <si>
    <t xml:space="preserve">Follow the point-based marking guidance at the top of this mark scheme and award: up to 3 marks for AO1 Knowledge and understanding up to 3 marks for AO2 Analysis up to 2 marks for AO3 Evaluation.
AO1 Knowledge and Understanding (max 3 marks)
For an understanding that Aggregate demand is the total demand for an economy’s goods and services at a given price level / it is the total of C + I + G +(X-M) (1). For an accurate AD/AS diagram showing a rightward shift of AD (1) leading to a rise/fall/no change in the equilibrium price level and a fall/rise/ no change increase in real output (1).
AO2 Analysis (max 3 marks)
• Increases in aggregate demand may become a problem when the economy is close to full capacity (1), as most of the impact is on the price level rather than real output, creating inflationary pressure (1).
• A continued rise in aggregate demand may widen the current account deficit (1) if higher domestic spending increases demand for imports, creating external pressures for the economy (1).
• However, increases in AD may not be a problem when the economy has spare capacity, as firms can expand output without significant upward pressure on prices, allowing real output and employment to rise (1).
AO3 Evaluation (max 2 marks) One mark for an explanation of whether the impact on real output and the price level from an increase in aggregate demand is likely to become a problem. One mark for a justified conclusion.
AO1 Knowledge and understanding: 3
AO2 Analysis: 3
AO3 Evaluation: 2</t>
  </si>
  <si>
    <t xml:space="preserve">9708_w23_22_Q5a (61%), 9708_s24_23_Q4a (99%)</t>
  </si>
  <si>
    <t xml:space="preserve">Comprehensive responses:
• Responses used an AD/AS diagram to show clearly how an increase in aggregate demand raises real output and the price level, linking each change directly to the stem.
• Candidates explained the movement along the short-run aggregate supply curve and recognised that the size of the effect depends on spare capacity.
• Many responses identified when rising AD becomes a problem, such as when the economy is close to full capacity and inflationary pressure increases.
• Explanations connected the diagram to real-world conditions, showing when further increases in AD may reduce economic stability.
Limited responses:
• Some candidates drew diagrams that were incomplete or did not show both output and price level changes.
• A minority of responses described AD rising without explaining how this affects the economy at different levels of capacity.
• Some candidates stated that increases in AD cause inflation without explaining when this becomes problematic.
• A few responses repeated general theory without linking it to the stem’s requirement to consider when issues arise.</t>
  </si>
  <si>
    <t xml:space="preserve">9708_s26_23_Q4b</t>
  </si>
  <si>
    <t xml:space="preserve">;5.4;4.5;4.3;</t>
  </si>
  <si>
    <t xml:space="preserve">5.4.4, 4.5.3, 4.3.9</t>
  </si>
  <si>
    <t xml:space="preserve">LRAS, supply-side policy, unemployment, demand-side alternatives</t>
  </si>
  <si>
    <t xml:space="preserve">Assess whether increases in long-run aggregate supply (LRAS) are the best way of reducing unemployment.</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</si>
  <si>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Analysis of the extent to which increases in long run aggregate supply are the best way of reducing unemployment. This may include the following:
• An increase in long-run aggregate supply can reduce unemployment by expanding the productive capacity of the economy. If firms can produce more at every price level, they may hire more labour to operate new capacity.
• LRAS-increasing measures such as training, education and improved labour mobility can reduce structural unemployment by helping workers gain the skills needed for available jobs.
• A rightward shift of LRAS can lower costs of production in the long run, encouraging firms to expand output and employment without causing inflationary pressure.
BUT.
• LRAS-based policies often take a long time to have an effect, meaning unemployment may remain high in the short run while training or investment programmes are implemented.
• Some forms of unemployment, such as cyclical unemployment, arise from a lack of aggregate demand. Increasing LRAS does not address insufficient demand and may leave unemployment unchanged.
• LRAS measures may be costly for the government to implement, and if poorly targeted, they may not reduce unemployment significantly, especially if workers do not take up training or mobility schemes.
• Increases in aggregate demand can reduce cyclical unemployment more quickly by encouraging firms to raise output and hire more workers when spare capacity exists.
• Wage subsidies or reductions in income tax can directly increase labour demand or labour supply, reducing unemployment without needing long-term structural changes.
• Policies such as job-matching services or improved labour-market information can reduce frictional unemployment more effectively than LRAS-focused measures.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concepts/arguments etc. and will be balanced. Explanations of points raised will be offered and will be accurate and relevant to the question.
AO3 Evaluation
Consideration of whether increases in long run aggregate supply are the best way of reducing unemployment with at least one other appropriate method. A justified conclusion showing which method is most likely to be effective in reducing unemployment.
A response that does not consider the advantages and disadvantages of increasing long-run aggregate supply with another method cannot gain any marks for evaluation.
Accept all valid responses.
AO1 Knowledge and understanding and AO2 Analysis: 8
AO3 Evaluation: 4</t>
  </si>
  <si>
    <t xml:space="preserve">9708_w23_23_Q4b (59%)</t>
  </si>
  <si>
    <t xml:space="preserve">Comprehensive responses:
• Responses explained how increases in long-run aggregate supply can reduce unemployment by expanding productive capacity and supporting long-term job creation.
• Candidates recognised that LRAS measures often address structural unemployment and linked this clearly to the stem.
• Many responses assessed whether LRAS is the best method by comparing it with demand-side measures that may reduce cyclical unemployment more quickly.
• Explanations considered conditions such as labour market flexibility and investment levels when judging effectiveness.
Limited responses:
• Some candidates described LRAS without explaining how it relates to unemployment.
• A minority of responses stated that LRAS reduces unemployment without assessing whether it is the best method.
• Some candidates focused only on demand-side policies and did not address LRAS directly.
• A few responses omitted discussion of conditions affecting the effectiveness of LRAS measures.</t>
  </si>
  <si>
    <t xml:space="preserve">9708_s26_23_Q5a</t>
  </si>
  <si>
    <t xml:space="preserve">;6.4;6.1;</t>
  </si>
  <si>
    <t xml:space="preserve">6.4.3, 6.1.3, 6.4.5</t>
  </si>
  <si>
    <t xml:space="preserve">depreciation, terms of trade, export prices, import prices</t>
  </si>
  <si>
    <t xml:space="preserve">Explain how depreciation of a currency affects the terms of trade in an economy and consider why this depreciation is not always beneficial.</t>
  </si>
  <si>
    <t xml:space="preserve">Follow the point-based marking guidance at the top of this mark scheme and award: up to 3 marks for AO1 Knowledge and understanding up to 3 marks for AO2 Analysis up to 2 marks for AO3 Evaluation.
AO1 Knowledge and Understanding (max 3 marks)
For an explanation that a depreciation is a fall in the value of a currency in terms of other currencies (1). For an explanation that the terms of trade measure the ratio of export prices to import prices/correct formula (1). For an accurate explanation that a depreciation of a currency worsens the terms of trade (1).
AO2 Analysis (max 3 marks)
• A depreciation may become a problem because the rise in import prices worsens the terms of trade, reducing the economy’s real purchasing power and making imported goods more expensive for households and firms (1).
• A depreciation may increase pressure on living standards if essential imports such as food, fuel or medicines become significantly more expensive, reducing real incomes (1).
• A depreciation may not be a problem if it improves competitiveness, as lower export prices in foreign-currency terms can increase demand for exports and support output and employment (1).
AO3 Evaluation (max 2 marks)
For an assessment leading to a justified conclusion whether the impact of a depreciation of a currency and the impact on the terms of trade is “not always beneficial” to an economy.
Note: the second mark is reserved for a justified conclusion.
AO1 Knowledge and understanding: 3
AO2 Analysis: 3
AO3 Evaluation: 2</t>
  </si>
  <si>
    <t xml:space="preserve">9708_s23_21_Q5a (58%), 9708_m24_22_Q4a (55%)</t>
  </si>
  <si>
    <t xml:space="preserve">Comprehensive responses:
• Responses explained clearly how currency depreciation worsens the terms of trade by raising import prices relative to export prices.
• Candidates linked this directly to the stem by showing how depreciation affects purchasing power and competitiveness.
• Many responses recognised that depreciation is not always beneficial, noting issues such as higher import costs, inflationary pressure or limited export responsiveness.
• Explanations considered conditions such as elasticity of demand and reliance on imported inputs when judging outcomes.
Limited responses:
• Some candidates described depreciation without linking it to the terms of trade.
• Several responses stated that depreciation helps exports without explaining why benefits may not occur.
• Some candidates omitted discussion of factors such as import dependence or elasticity. A few responses repeated definitions without applying them to the stem’s requirement to consider why depreciation may not be beneficial.</t>
  </si>
  <si>
    <t xml:space="preserve">9708_s26_23_Q5b</t>
  </si>
  <si>
    <t xml:space="preserve">current account deficit, consumers, firms, imports</t>
  </si>
  <si>
    <t xml:space="preserve">Assess whether a deficit on the current account of the balance of payments of a country always results in negative consequences for consumers and for firms.</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</si>
  <si>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Analysis whether a deficit on the current account of the balance of payments of a country results in negative consequences for consumers and for firms. This may include the following:
• A deficit may lead to a depreciation of the currency, raising the domestic price of imported goods and reducing both consumers’ real purchasing power.
• If the deficit contributes to higher inflation, households may face rising living costs, especially when they rely on imported essentials such as food or fuel
• A depreciation linked to a deficit can increase the cost of imported raw materials and components, raising firms’ production costs.
• Firms that depend on imported capital goods may find investment more expensive, limiting their ability to expand output or improve productivity.
Analysis whether a deficit on the current account of the balance of payments of a country results in positive consequences for consumers and for firms. This may include the following:
• A deficit may reflect strong domestic demand, meaning consumers are confident enough to buy more imported goods, supporting higher sales for firms in retail and services.
• A depreciation associated with a deficit can improve competitiveness by making exports cheaper in foreign-currency terms, helping exporting firms increase output and employment.
• A deficit may arise from high levels of investment, where firms import machinery and technology that raise long-run productive capacity and ultimately benefit consumers through better products and lower costs.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concepts/arguments etc. and will be balanced. Explanations of points raised will be offered and will be accurate and relevant to the question.
AO3 Evaluation
Consideration of whether a deficit on the current account of the balance of payments of a country always results in negative consequences for consumers and for firms.
A response that does not consider both the negative and positive consequences of a deficit on the current account of the balance of payments for BOTH consumers and firms cannot gain marks for evaluation.
Accept all valid responses.
AO1 Knowledge and understanding and AO2 Analysis: 8
AO3 Evaluation: 4</t>
  </si>
  <si>
    <t xml:space="preserve">9708_w23_23_Q5b (62%), 9708_w25_23_Q5a (56%), 9708_s26_24_Q5b (69%)</t>
  </si>
  <si>
    <t xml:space="preserve">Comprehensive responses:
• Responses explained how a current account deficit may create negative consequences such as reduced domestic output or increased foreign borrowing, linking these directly to consumers and firms.
• Candidates recognised that deficits are not always harmful, noting benefits such as access to cheaper imports or increased consumer choice.
• Many responses assessed outcomes for both consumers and firms, considering conditions such as the sustainability of financing and the structure of imports.
• Explanations provided reasoned judgement on when deficits may or may not lead to negative consequences.
Limited responses:
• Some candidates described the current account without linking it to consumers or firms.
• Several responses stated that deficits are harmful without explaining why or considering alternative outcomes.
• Some candidates omitted discussion of conditions affecting whether consequences are negative.
• A few responses repeated general statements without addressing the stem’s requirement to assess both groups.</t>
  </si>
  <si>
    <t xml:space="preserve">9708_s26_24_Q1a</t>
  </si>
  <si>
    <t xml:space="preserve">6.4.3</t>
  </si>
  <si>
    <t xml:space="preserve">depreciation, exporters</t>
  </si>
  <si>
    <t xml:space="preserve">Argentina – economic reform</t>
  </si>
  <si>
    <t xml:space="preserve">‘Argentina’s currency, the peso, would be allowed to depreciate’. Describe the meaning of depreciation of a currency and state one consequence for Argentina’s exporters of a depreciation of the peso.</t>
  </si>
  <si>
    <t xml:space="preserve">• Depreciation refers to a decrease in the value of a currency / the peso, compared to other international currencies / international value of the currency / a fall in value of the exchange rate in a floating exchange rate system (1)
• It would make Argentina’s exports cheaper (1)
Guidance: do not accept simple references to a fall in the value of a currency or the fall in the value of a domestic currency / the Peso.</t>
  </si>
  <si>
    <t xml:space="preserve">Comprehensive responses:
• Many candidates were able to explain that currency depreciation meant that the value of one currency falls compared to the value of another currency/in a floating exchange rate system. This meant that Argentina’s exporters may benefit as the price of their exports falls for other countries.
Limited responses:
• Such responses were ones that made no reference to other countries so any fall in the value of a domestic currency could be interpreted as a rise in inflation.
• Occasionally there was no reference at all to the consequences for Argentina’s exporters.</t>
  </si>
  <si>
    <t xml:space="preserve">9708_s26_24_Q1b</t>
  </si>
  <si>
    <t xml:space="preserve">tariffs, value of imports, PED</t>
  </si>
  <si>
    <t xml:space="preserve">Explain one likely effect of the increase in tariffs on the value of imports into Argentina.</t>
  </si>
  <si>
    <t xml:space="preserve">• It would increase the price of the imports (1) this will reduce the consumption/value of the imports (1)</t>
  </si>
  <si>
    <t xml:space="preserve">Comprehensive responses:
• Most candidates recognised that a tariff would increase the price of imports and that this would likely reduce the expenditure and therefore the value of imports.
Limited responses:
• Many candidates did not recognise the impact on the value of imports and some focused on the size of the current account deficit instead.</t>
  </si>
  <si>
    <t xml:space="preserve">9708_s26_24_Q1c</t>
  </si>
  <si>
    <t xml:space="preserve">3.2.2, 4.6.4</t>
  </si>
  <si>
    <t xml:space="preserve">removal of subsidy, supply shift, cost-push inflation</t>
  </si>
  <si>
    <t xml:space="preserve">With the help of a diagram, explain the effect on the market for transport in Argentina of reducing the subsidy to transport providers and consider the possible impact of this on inflation in Argentina.</t>
  </si>
  <si>
    <t xml:space="preserve">For a clearly labelled and accurate diagram showing the impact on the transport market of a shift to the left of the supply curve and a resulting higher equilibrium price and lower equilibrium quantity (1)
For an explanation that this will likely increase costs for transport providers (1) Leading to possible inflation in Argentina (1)
For some evaluation as to whether this may lead to an increase in inflation MAX 1 mark
For example, it may not lead to inflation as the cost push factor may be offset by the demand-pull factor reducing as G falls. It may depend on the weighting of transport in measuring inflation, e.g., if it is very low then the impact on inflation may be minor.</t>
  </si>
  <si>
    <t xml:space="preserve">Comprehensive responses:
• Most candidates produced an accurate diagram with correct labels showing a shift to the left of the supply curve and the subsequent increase in the price of transport in Argentina.
• The analysis of the cause, namely an increase in the cost of production, was also generally identified.
• The impact, namely inflation or cost-push inflation, was also generally correctly explained.
• Some candidates offered reasonable evaluation which generally focused on offsetting AD factors, such as lower government spending, leading to a decrease in AD.
Limited responses:
• These were often the result of inaccurate, macro based AD/AS diagrams being produced rather than micro diagrams applicable to an individual market.
• Evaluation was either omitted or inaccurate/unexplained.</t>
  </si>
  <si>
    <t xml:space="preserve">9708_s26_24_Q1d</t>
  </si>
  <si>
    <t xml:space="preserve">3.2.4, 2.4.4</t>
  </si>
  <si>
    <t xml:space="preserve">maximum price, shortages, price mechanism</t>
  </si>
  <si>
    <t xml:space="preserve">Assess whether the advantages of the removal of maximum prices would outweigh the disadvantages of their removal in Argentina.</t>
  </si>
  <si>
    <t xml:space="preserve">Up to 4 marks MAX for explanation/analysis:
Up to 3 marks for an analysis of the advantages of removing maximum prices. For example:
• This will lead to higher income for producers (1)
• It should incentivise producers to produce more (1)
• Which should reduce shortages and assorted problems e.g., illegal markets, queuing etc. (1) 1 mark per relevant explained point / up to 2 for a point developed through a chain of reasoning
Up to 3 marks for an analysis of the disadvantages of removing maximum prices. For example:
• Products become less affordable (1)
• This might increase poverty / reduce living standards/ proportionately affect the less well-off more / increase income inequality (1)
• It may lead to an increase in the rate of inflation (1) 1 mark per relevant explained point / up to 2 for a point developed through a chain of reasoning
Up to 2 marks for relevant evaluation of both the advantages and disadvantages of removing maximum prices.
Reserve 1 mark for a justified conclusion that is clearly in the context of Argentina.</t>
  </si>
  <si>
    <t xml:space="preserve">9708_w24_21_Q1d (56%)</t>
  </si>
  <si>
    <t xml:space="preserve">Comprehensive responses:
• Such responses were those that explained the advantages and disadvantages of removing maximum prices in Argentina.
• These advantages included allowing the price mechanism to operate leading to a more efficient allocation of resources, allowing producers to have a higher income and incentivising them to produce more. This could eliminate possible shortages and reduce illegal markets and queues. The disadvantages mainly fell on consumers due to, for example, a lack of affordability, falls in living standards and inflation.
• Some candidates were able to evaluate fully and compare the advantages and disadvantages and reach a conclusion as to which outweighed the other in the context of Argentina.
Limited responses:
• Such answers did not offer explanations and asserted rather than explained the advantages and disadvantages.
• Some candidates misread the question and answered a question based on the introduction rather than the removal of maximum prices.
• Some candidates did not offer any evaluation or offered a generic evaluation which was not in the context of Argentina and the case study.</t>
  </si>
  <si>
    <t xml:space="preserve">9708_s26_24_Q1e</t>
  </si>
  <si>
    <t xml:space="preserve">;5.4;3.3;</t>
  </si>
  <si>
    <t xml:space="preserve">5.4.4, 3.3.3</t>
  </si>
  <si>
    <t xml:space="preserve">supply-side policy, winners and losers, inequality</t>
  </si>
  <si>
    <t xml:space="preserve">Assess whether ‘improvements to the supply side of the economy’ of Argentina would benefit everybody in Argentina.</t>
  </si>
  <si>
    <t xml:space="preserve">Up to 4 marks MAX for explanation/analysis:
Up to 3 marks for an analysis of how different groups may benefit. For example:
• Improvements may allow markets to work more efficiently (1) therefore raising production (1)
• Firms may become more competitive (1) therefore raising levels of GDP (1)
• May improve skills e.g., through education and training leading to improved job prospects (1)
• This may raise incomes (1) and therefore living standards (1) 1 mark per relevant explained point / up to 2 for a point developed through a chain of reasoning.
Up to 3 marks for an analysis of how different groups may not benefit.
For example:
• Policies may lead to unemployment (1) e.g., as firms go out of business due to greater competition / labour market becomes less secure due to flexible markets (1), leading to a fall in living standards (1)
• This may increase income inequality (1) with a disproportionate effect on low-income / low skilled employees (1)
• It may lead to an increase in levels of taxation (1) reducing the disposable incomes of consumers / profits of firms (1)
• They may lead to an increase in the budget deficit / reduce the ability of the government to spend on other areas e.g., merit goods (1) 1 mark per relevant explained point / up to 2 for a point developed through a chain of reasoning.
Up to 2 marks for relevant evaluation of both sides of the question as to whether improvements in the supply side of the economy would benefit everybody in Argentina. Reserve 1 mark for a justified conclusion that is clearly in the context of Argentina.</t>
  </si>
  <si>
    <t xml:space="preserve">Comprehensive responses:
• Such candidates had a good understanding of the tools of supply side policy.
• These responses were able to explain how improvements to supply side policy may or may not benefit everybody in Argentina. This was often explained in the context of firms, workers/consumers and the government.
• Such responses often focused on increased productivity and profitability, more jobs, higher income and reduced prices and increased tax revenue and reduced budget deficits.
• The reasons why not everybody would benefit often focused on workers and possible unemployment and the government in terms of an increased budget deficit in the short run to finance the improvements.
• Evaluation was good in some cases and clearly weighed up the evidence from both sides to reach a conclusion that answered the question in the context of Argentina.
Limited responses:
• Such answers did not offer any explanations and asserted rather than explained the benefits or lack of benefits to different groups within Argentina.
• Such answers were often unclear as to what supply side policy consisted of.
• Evaluation was often missing, not based on preceding analysis of both sides and/or not in the context of Argentina.</t>
  </si>
  <si>
    <t xml:space="preserve">9708_s26_24_Q2a</t>
  </si>
  <si>
    <t xml:space="preserve">XED, substitutes, complements, business decisions</t>
  </si>
  <si>
    <t xml:space="preserve">Explain the factors affecting the cross elasticity of demand (XED) for a product and consider how useful XED is likely to be to the firm making this product.</t>
  </si>
  <si>
    <t xml:space="preserve">Follow the point-based marking guidance at the top of this mark scheme and award: up to 3 marks for AO1 Knowledge and understanding up to 3 marks for AO2 Analysis up to 2 marks for AO3 Evaluation.
AO1 Knowledge and understanding (max 3 marks)
• A definition and / or an accurate formula for XED (1)
• An understanding that XED is affected by / measures whether the two goods are complements or substitutes. A positive value means the goods are substitutes and a negative value means they are complements (1)
• The size of the value determines the closeness of the relationship i.e., the higher the value, the closer the relationship (1)
AO2 Analysis (max 3 marks)
• For example, if the products are substitutes then e.g., a firm might lower the price of its product to compete against a competitor / raise price if a competitor raises their prices etc. (1)
• For example, if the products are complements, if the price of a complement rises then a firm might increase its own prices to raise revenue or reduce the price to encourage consumption of both (1)
• The usefulness will depend on e.g., the quality of the available data, the closeness of the relationship between products / whether a single firm produces the substitute or complementary products etc. (1)
AO3 Evaluation (max 2 marks) Offers a valid judgement on how useful XED is likely to be to a firm (1)
Note: the second mark is reserved for a justified conclusion.
AO1 Knowledge and understanding: 3
AO2 Analysis: 3
AO3 Evaluation: 2</t>
  </si>
  <si>
    <t xml:space="preserve">Comprehensive responses:
• Most candidates clearly defined cross elasticity of demand and distinguished between a substitute and a complement product.
• Many candidates recognised that the value of the measurement of the cross elasticity of demand (XED) determined the closeness of the relationship and were able to explain this.
• Candidates were able to assess the usefulness of XED in terms of competitive pricing decisions to increase sales.
• Some candidates were able to analyse weaknesses, normally in terms of the accuracy of the data.
• A few candidates were able to effectively provide evaluation by comparing the strengths and weaknesses of the measurement to reach an overall conclusion as to its usefulness.
Limited responses:
• Understanding of XED was occasionally unclear or incorrect.
• The coefficient value of a substitute was sometimes confused with that of a complement.
• Analysis of the usefulness of the measurement was sometimes unclear.
• Evaluation was missing or not based on any preceding analysis.</t>
  </si>
  <si>
    <t xml:space="preserve">9708_s26_24_Q2b</t>
  </si>
  <si>
    <t xml:space="preserve">2.2.3, 2.2.6, 2.2.8</t>
  </si>
  <si>
    <t xml:space="preserve">PED, YED, recession, normal and inferior goods</t>
  </si>
  <si>
    <t xml:space="preserve">Assess whether price elasticity of demand (PED) or income elasticity of demand (YED) is likely to be of greater importance to a firm during a period of negative economic growth.</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</si>
  <si>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An understanding of the meaning and formula of PED.
• An understanding of the meaning and formula of YED.
• An analysis of how each of these concepts can be applied to a firm during a period of negative economic growth. This may include:
• An understanding that demand may fall for most goods as income may fall so PED may be useful to calculate the impact on demand and sales if the negative economic growth is caused by rising prices.
• This is likely to make PED more elastic.
• Firms may use this information to calculate possible changes in sales when deciding to change prices.
• However, YED may be of greater importance
• Incomes may well be falling during a period of negative economic growth and so a firm will want to be producing or stocking goods that are relatively income inelastic.
• Normal goods are characterised by a positive YED and inferior goods by a negative YED; during a period of negative economic growth, there is likely to be a move away from normal goods towards inferior goods.
• This may also include an assessment of weaknesses regarding the calculation of both measurements.
Award any valid responses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/arguments etc. and will be balanced. Explanations of points raised will be offered and will be accurate and relevant to the question.
AO3 Evaluation That considers whether PED or YED is likely to be of greater importance to a firm during a period of negative economic growth and arrives at a reasoned and justified conclusion.
A one-sided response cannot gain any marks for evaluation.
AO1 Knowledge and understanding and AO2 Analysis: 8
AO3 Evaluation: 4</t>
  </si>
  <si>
    <t xml:space="preserve">9708_w21_23_Q3b (67%), 9708_w22_21_Q2b (63%), 9708_w23_21_Q2b (87%), 9708_w23_23_Q2b (67%), 9708_m24_22_Q3b (59%), 9708_w24_22_Q2b (56%), 9708_w25_21_Q2b (60%)</t>
  </si>
  <si>
    <t xml:space="preserve">Comprehensive responses:
• Most candidates demonstrated good knowledge and understanding of price elasticity of demand (PED) and income elasticity of demand (YED).
• Most candidates were able to partially apply analysis of YED to the question of usefulness during a period of negative economic growth.
Limited responses:
• Analysis of the usefulness of PED was normally generic and not applied to the question.
• Analysis of the reasons why both PED and YED might not be useful in a period of negative economic growth was often based on generic observations about the accuracy of the data and not specific to the question.
• Evaluation was therefore often one-sided.</t>
  </si>
  <si>
    <t xml:space="preserve">9708_s26_24_Q3a</t>
  </si>
  <si>
    <t xml:space="preserve">;2.4;1.6;</t>
  </si>
  <si>
    <t xml:space="preserve">2.4.4, 1.6.4</t>
  </si>
  <si>
    <t xml:space="preserve">functions of price, rationing, signalling, incentivising, over-consumption</t>
  </si>
  <si>
    <t xml:space="preserve">Explain the three functions of price in resource allocation and consider whether market price always avoids over-consumption of a product.</t>
  </si>
  <si>
    <t xml:space="preserve">Follow the point-based marking guidance at the top of this mark scheme and award: up to 3 marks for AO1 Knowledge and understanding up to 3 marks for AO2 Analysis up to 2 marks for AO3 Evaluation.
AO1 Knowledge and understanding (max 3 marks)
Knowledge and understanding of the three functions of price in resource allocation:
• Who should receive the goods /rationing (1)
• What should be produced /signaling preferences (1)
• How should the goods be produced/ incentivising (1)
AO2 Analysis (max 3 marks)
For analysis of:
• How the price mechanism allocates products (1)
• What is meant by equilibrium (1)
• Why some goods e.g., demerit goods may be overconsumed (1)
AO3 Evaluation (max 2 marks) Offers a valid judgement as to whether market price always avoids over- consumption of a product (1) to reach a conclusion. (1)
AO1 Knowledge and understanding: 3
AO2 Analysis: 3
AO3 Evaluation: 2</t>
  </si>
  <si>
    <t xml:space="preserve">9708_m23_22_Q2a (56%)</t>
  </si>
  <si>
    <t xml:space="preserve">Comprehensive responses:
• Many candidates had a good grasp of the concepts involved.
• The three functions of price were often clearly identified and explained to provide good knowledge and understanding of the role of price in the allocation of resources and the prevention of over-consumption.
• Most candidates clearly explained why demerit goods may still be overconsumed.
• Some candidates were able to offer valid evaluation.
Limited responses:
• Some candidates did not clearly explain the functions of price in the context of resource allocation.
• Many candidates did not explain the concept of equilibrium.
• Evaluation was often missing or not based on any preceding analysis.</t>
  </si>
  <si>
    <t xml:space="preserve">9708_s26_24_Q3b</t>
  </si>
  <si>
    <t xml:space="preserve">mixed economy, state sector, private sector, public goods</t>
  </si>
  <si>
    <t xml:space="preserve">Assess whether mixed economies should consist of a relatively large or a relatively small state sector.</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</si>
  <si>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The advantages and disadvantages of a relatively large state sector might include:
• Economies of scale leading to lower costs of production.
• Less duplication of resources.
• Greater account taken of negative and positive externalities
• Reduction of monopoly power by private firms.
• Strategic reason, e.g. state control of a large part of defence industry.
• The benefits on the economy of the private (non-state) sector are minimized which can lead to less efficient allocation of resources.
The advantages and disadvantages of a relatively small state sector might include:
• Allow for more incentive to innovate.
• Allow for more competitive pressure.
• Better decision making that is less influenced by political reasons.
• Reduces public spending and possibly taxation.
• Helps to contribute to an enterprise culture.
• The drawbacks to the economy of the private (non-state) sector are greater which can lead to less efficient allocation of resources.
Knowledge of free-market and planned economic systems is not required for this question.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/arguments etc. and will be balanced. Explanations of points raised will be offered and will be accurate and relevant to the question.
AO3 Evaluation Consideration of the relative advantages and disadvantages of each approach to arrive at a reasoned and justified conclusion.
Accept all valid responses.
A one-sided response cannot gain any marks for evaluation
AO1 Knowledge and understanding and AO2 Analysis: 8
AO3 Evaluation: 4</t>
  </si>
  <si>
    <t xml:space="preserve">Comprehensive responses:
• Such answers compared the efficiency of mixed economies with a relatively large state sector and a relatively small state sector.
• A few answers were able to provide a range of analysis to support their conclusions which led to an effective evaluation.
Limited responses:
• Many candidates answered this question by comparing planned/significant state sector mixed economies with those in a market economy which did not answer the set question. In such answers, effective evaluation was not possible.</t>
  </si>
  <si>
    <t xml:space="preserve">9708_s26_24_Q4a</t>
  </si>
  <si>
    <t xml:space="preserve">circular flow, closed vs open economy, government sector, injections and leakages</t>
  </si>
  <si>
    <t xml:space="preserve">Explain what is meant by the circular flow of income in a closed economy with a government sector and consider the impact of a move from a closed economy to an open economy on this circular flow.</t>
  </si>
  <si>
    <t xml:space="preserve">Follow the point-based marking guidance at the top of this mark scheme and award: up to 3 marks for AO1 Knowledge and understanding up to 3 marks for AO2 Analysis up to 2 marks for AO3 Evaluation.
AO1 Knowledge and understanding (max 3 marks)
• The circular flow of income shows expenditure on goods flowing towards firms from households and income flowing from firms towards households (1)
• Money leaves the circular flow through leakages and enters the circular flow through injections (1)
• In a closed economy there is no international trade and injections consist of I +G and leakages consist of S+T (1) A correctly drawn and accurate diagram can gain all three marks but is not necessary.
AO2 Analysis (max 3 marks)
• A move from a closed economy to an open economy will introduce international trade and bring in expenditure on exports and imports (1)
• Exports will represent injections (money going into the circular flow) and imports will represent leakages (money leaving the circular flow (1)
• The overall impact on the economy will depend on the value of exports and imports. E.g., if X is greater than M then the economy may grow and vice versa (1)
AO3 Evaluation (max 2 marks) Offers a valid judgement on the extent of the impact on an economy of a move from a closed economy to an open economy on this circular flow (1) to reach a conclusion. (1)
AO1 Knowledge and understanding: 3
AO2 Analysis: 3</t>
  </si>
  <si>
    <t xml:space="preserve">9708_m23_22_Q4a (61%), 9708_s24_22_Q4a (61%), 9708_s25_21_Q4a (60%)</t>
  </si>
  <si>
    <t xml:space="preserve">Comprehensive responses:
• Some candidates had clear knowledge and understanding of the circular flow of income in both a closed and an open economy.
• This included knowledge and understanding of what is meant by injections and leakages and how they differ between a closed and an open economy.
• A few candidates analysed the significance of the value of exports and imports in determining whether an economy may grow. They considered the resulting changes in injections and leakages and evaluated the overall impact.
Limited responses:
• Some candidates made use of a diagram, which was either unclear or unexplained.
• Knowledge and understanding of injections and leakages was occasionally unexplained.
• Evaluation was missing or not based on preceding analysis.</t>
  </si>
  <si>
    <t xml:space="preserve">9708_s26_24_Q4b</t>
  </si>
  <si>
    <t xml:space="preserve">;4.3;5.2;4.6;</t>
  </si>
  <si>
    <t xml:space="preserve">4.3.8, 5.2.7, 4.6.4</t>
  </si>
  <si>
    <t xml:space="preserve">LRAS shape, fiscal policy, price stability, spare capacity</t>
  </si>
  <si>
    <t xml:space="preserve">Assess the extent to which the shape of the long-run aggregate supply (LRAS) curve affects the ability of a government to use fiscal policy to achieve price stability.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</si>
  <si>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 Of what is meant by fiscal policy
• Of the shape of the Keynesian LRAS / the vertical LRAS curves
• Analysis of how an increase/ fall in demand due to fiscal policy will affect price stability will be determined by the position of the economy on the Keynesian LRAS / vertical LRAS curves
• For example, if the LRAS is horizontal, fiscal policy can be used to increase AD and output without any changes to the price level which may lead to price stability.
• If the LRAS is upward sloping, fiscal policy can be used to increase output, but this is increasingly changing / increasing the price level and this will have an impact on price stability.
• If the LRAS is vertical and fiscal policy will only increase the price level and this will have an impact on the price level.
• The impact will vary depending on whether the economy has been experiencing inflation or deflation.
• However, this depends on:
• For example, the amount of spare capacity, confidence levels within the economy, time lags At least 2 ‘shapes’ of the LRAS curve must be analysed to get into L3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/arguments etc. and will be balanced. Explanations of points raised will be offered and will be accurate and relevant to the question.
AO3 Evaluation
• Consideration of the extent to which the long run aggregate supply (LRAS) curve affects the ability of a government to use fiscal policy to achieve price stability to reach a conclusion.
Accept all valid responses.
A one-sided response cannot gain any marks for evaluation
AO1 Knowledge and understanding and AO2 Analysis: 8
AO3 Evaluation: 4</t>
  </si>
  <si>
    <t xml:space="preserve">Comprehensive responses:
• Such responses demonstrated a clear understanding of price stability, the use of both expansionary and contractionary fiscal policy, and the various shapes proposed for the long- run aggregate supply curve.
• Some candidates analysed the possible impacts of different forms of fiscal policy on price stability, considering the various shapes and stages of the long-run aggregate supply curve.
• A few candidates were able to analyse and evaluate the overall impact on price stability.
Limited responses:
• Such responses offered unclear or incomplete analysis in terms of different uses of fiscal policy, different forms of the LRAS and whether the economy was suffering from inflation or deflation. As a result, evaluation was missing.</t>
  </si>
  <si>
    <t xml:space="preserve">9708_s26_24_Q5a</t>
  </si>
  <si>
    <t xml:space="preserve">specialisation, free trade, consumer choice, lower prices</t>
  </si>
  <si>
    <t xml:space="preserve">Explain three potential benefits of specialisation and free trade and consider whether consumers always benefit from specialisation and free trade.</t>
  </si>
  <si>
    <t xml:space="preserve">Follow the point-based marking guidance at the top of this mark scheme and award: up to 3 marks for AO1 Knowledge and understanding up to 3 marks for AO2 Analysis up to 2 marks for AO3 Evaluation.
AO1 Knowledge and understanding (max 3 marks) The benefits of specialisation and free trade include an identification plus some explanation of:
• An increase in (world) output (1)
• More efficient use of resources (1)
• Lower costs of production (1)
AO2 Analysis (max 3 marks) Analysis of the possible advantages to consumers e.g.: (Up to 2 marks)
• Lower prices
• More choice Analysis of the possible disadvantages to consumers e.g.: (Up to 2 marks)
• Supply may be dominated by monopolies increasing prices
• Vulnerability to supply shocks increasing prices
• Unemployment affecting Consumers’ spending power
AO3 Evaluation (max 2 marks) Offers a valid judgement on whether consumers always benefit from specialisation and free trade (1) to reach a conclusion. (1)
Do not credit discussion of specialisation/division of labour
AO1 Knowledge and understanding: 3
AO2 Analysis: 3
AO3 Evaluation: 2</t>
  </si>
  <si>
    <t xml:space="preserve">9708_w24_21_Q5a (64%)</t>
  </si>
  <si>
    <t xml:space="preserve">Comprehensive responses:
• Many candidates were able to explain three benefits of specialisation and free trade and the benefits to consumers.
• Some candidates were able to explain why, in certain cases, consumers may not benefit, such as when overseas producers drive domestic producers out of business and then raise prices.
• There was evidence of evaluation that offered a valid judgement as to whether consumers always benefit from specialisation and free trade based on preceding analysis.
Limited responses:
• Such responses tended to confuse specialisation as simply the division of labour rather than an outcome of free trade.
• Such responses also tended to focus on a specialisation on one product only at the expense of all others.
• Some responses also focused purely on the advantages and disadvantages of comparative advantage.
• Some responses did not explain the points being made.
• Evaluation was often missing.</t>
  </si>
  <si>
    <t xml:space="preserve">9708_s26_24_Q5b</t>
  </si>
  <si>
    <t xml:space="preserve">current account surplus, exchange rate, inflation, living standards</t>
  </si>
  <si>
    <t xml:space="preserve">Assess whether a surplus in the current account of the balance of payments of an economy is always an advantage for this economy.</t>
  </si>
  <si>
    <t xml:space="preserve">Use Table A: AO1 Knowledge and understanding and AO2 Analysis and Table B: AO3 Evaluation to mark candidate responses to this question.
AO1 and AO2 out of 8 marks. AO3 out of 4 marks.
Indicative content
Responses may include:
AO1 Knowledge and understanding and AO2 Analysis
The potential advantages of a surplus in the current account:
• It increases a country’s net assets.
• A relatively high level of exports could lead to an increase in employment in the export sector.
• Lower import spending could also lead to higher employment in the domestic sector of an economy.
• It contributes positively to a country’s reserves.
• Possible increase in GDP / employment
The potential disadvantages of a surplus in the current account:
• It could put upwards pressure on the currency and such an appreciation would make exports more expensive and imports less expensive.
• If the surplus has been caused by a fall in import spending, it could be indicative of a recession.
• Risk of demand-pull inflation
• It can be controversial if the surplus is caused by an undervalued exchange rate.
Level 1 responses will be assertive and lacking in explanations / mainly descriptive and/or or mainly lacking in relevance to the question.
Level 2 responses may contain some inaccuracies and may be one sided. Analysis will be explained at least in part and will be largely relevant to the question.
Level 3 responses will consider alternative policies / concepts / arguments etc. and will be balanced. Explanations of points raised will be offered and will be accurate and relevant to the question.
AO3 Evaluation
• Consideration of whether a surplus in the current account of the balance of payments of an economy is always an advantage for this economy to reach a justified conclusion.
Accept all valid responses.
A one-sided response cannot gain any marks for evaluation
AO1 Knowledge and understanding and AO2 Analysis: 8
AO3 Evaluation: 4</t>
  </si>
  <si>
    <t xml:space="preserve">9708_w24_21_Q5b (58%), 9708_w25_23_Q5a (56%), 9708_s26_23_Q5b (69%)</t>
  </si>
  <si>
    <t xml:space="preserve">Comprehensive responses:
• Many answers were well-explained and covered the benefits and possible drawbacks.
• Several strands of arguments were generally analysed particularly for the benefits especially for the possible boost to GDP and employment.
• Some evaluation was generally in evidence.
Limited responses:
• Analysis was asserted rather than explained by a few candidates.
• Evaluation was missing or not supported by preceding analysis.</t>
  </si>
  <si>
    <t xml:space="preserve">How often each AS topic appears (count of question parts tagged with it)</t>
  </si>
  <si>
    <t xml:space="preserve">Columns read variant/series/year, e.g. 23/O/N/25 = 9708/23 Oct/Nov 2025. Counts any tag (primary or secondary). "Marks as primary" sums marks where the topic is the main focus. Updates automatically as rows are added to Questions.</t>
  </si>
  <si>
    <t xml:space="preserve">Code</t>
  </si>
  <si>
    <t xml:space="preserve">Topic</t>
  </si>
  <si>
    <t xml:space="preserve">22/F/M/21</t>
  </si>
  <si>
    <t xml:space="preserve">21/M/J/21</t>
  </si>
  <si>
    <t xml:space="preserve">22/M/J/21</t>
  </si>
  <si>
    <t xml:space="preserve">23/M/J/21</t>
  </si>
  <si>
    <t xml:space="preserve">21/O/N/21</t>
  </si>
  <si>
    <t xml:space="preserve">22/O/N/21</t>
  </si>
  <si>
    <t xml:space="preserve">23/O/N/21</t>
  </si>
  <si>
    <t xml:space="preserve">22/F/M/22</t>
  </si>
  <si>
    <t xml:space="preserve">21/M/J/22</t>
  </si>
  <si>
    <t xml:space="preserve">22/M/J/22</t>
  </si>
  <si>
    <t xml:space="preserve">23/M/J/22</t>
  </si>
  <si>
    <t xml:space="preserve">21/O/N/22</t>
  </si>
  <si>
    <t xml:space="preserve">22/O/N/22</t>
  </si>
  <si>
    <t xml:space="preserve">23/O/N/22</t>
  </si>
  <si>
    <t xml:space="preserve">22/F/M/23</t>
  </si>
  <si>
    <t xml:space="preserve">21/M/J/23</t>
  </si>
  <si>
    <t xml:space="preserve">22/M/J/23</t>
  </si>
  <si>
    <t xml:space="preserve">23/M/J/23</t>
  </si>
  <si>
    <t xml:space="preserve">21/O/N/23</t>
  </si>
  <si>
    <t xml:space="preserve">22/O/N/23</t>
  </si>
  <si>
    <t xml:space="preserve">23/O/N/23</t>
  </si>
  <si>
    <t xml:space="preserve">22/F/M/24</t>
  </si>
  <si>
    <t xml:space="preserve">21/M/J/24</t>
  </si>
  <si>
    <t xml:space="preserve">22/M/J/24</t>
  </si>
  <si>
    <t xml:space="preserve">23/M/J/24</t>
  </si>
  <si>
    <t xml:space="preserve">21/O/N/24</t>
  </si>
  <si>
    <t xml:space="preserve">22/O/N/24</t>
  </si>
  <si>
    <t xml:space="preserve">23/O/N/24</t>
  </si>
  <si>
    <t xml:space="preserve">21/M/J/25</t>
  </si>
  <si>
    <t xml:space="preserve">22/M/J/25</t>
  </si>
  <si>
    <t xml:space="preserve">23/M/J/25</t>
  </si>
  <si>
    <t xml:space="preserve">24/M/J/25</t>
  </si>
  <si>
    <t xml:space="preserve">21/O/N/25</t>
  </si>
  <si>
    <t xml:space="preserve">22/O/N/25</t>
  </si>
  <si>
    <t xml:space="preserve">23/O/N/25</t>
  </si>
  <si>
    <t xml:space="preserve">24/O/N/25</t>
  </si>
  <si>
    <t xml:space="preserve">21/M/J/26</t>
  </si>
  <si>
    <t xml:space="preserve">22/M/J/26</t>
  </si>
  <si>
    <t xml:space="preserve">23/M/J/26</t>
  </si>
  <si>
    <t xml:space="preserve">24/M/J/26</t>
  </si>
  <si>
    <t xml:space="preserve">Total parts</t>
  </si>
  <si>
    <t xml:space="preserve">As primary</t>
  </si>
  <si>
    <t xml:space="preserve">Marks as primary</t>
  </si>
  <si>
    <t xml:space="preserve">1.2</t>
  </si>
  <si>
    <t xml:space="preserve">Economic methodology</t>
  </si>
  <si>
    <t xml:space="preserve">4.1</t>
  </si>
  <si>
    <t xml:space="preserve">National income statistics</t>
  </si>
  <si>
    <t xml:space="preserve">Total</t>
  </si>
  <si>
    <t xml:space="preserve">Check: "Marks as primary" total should be 100 per 2023+ paper (Q1 = 20 plus four 20-mark optional essays, all stored) and 80 per 2022 paper (Q1 plus three optional essays).</t>
  </si>
  <si>
    <t xml:space="preserve">Expected marks total</t>
  </si>
  <si>
    <t xml:space="preserve">Matches?</t>
  </si>
  <si>
    <t xml:space="preserve">Questions that recur across papers (same main topic and sub-topic, similar wording)</t>
  </si>
  <si>
    <t xml:space="preserve">Useful for spotting favourite questions — and for avoiding giving students the same question twice in a test.</t>
  </si>
  <si>
    <t xml:space="preserve">Similarity</t>
  </si>
  <si>
    <t xml:space="preserve">Marks A / B</t>
  </si>
  <si>
    <t xml:space="preserve">Question A</t>
  </si>
  <si>
    <t xml:space="preserve">Wording A</t>
  </si>
  <si>
    <t xml:space="preserve">Question B</t>
  </si>
  <si>
    <t xml:space="preserve">Wording B</t>
  </si>
  <si>
    <t xml:space="preserve">8 / 8</t>
  </si>
  <si>
    <t xml:space="preserve">12 / 12</t>
  </si>
  <si>
    <t xml:space="preserve">12 / 8</t>
  </si>
  <si>
    <t xml:space="preserve">6 / 12</t>
  </si>
  <si>
    <t xml:space="preserve">12 / 6</t>
  </si>
  <si>
    <t xml:space="preserve">2 / 2</t>
  </si>
  <si>
    <t xml:space="preserve">3 / 4</t>
  </si>
  <si>
    <t xml:space="preserve">2 / 1</t>
  </si>
  <si>
    <t xml:space="preserve">6 / 2</t>
  </si>
  <si>
    <t xml:space="preserve">8 / 4</t>
  </si>
  <si>
    <t xml:space="preserve">4 / 3</t>
  </si>
  <si>
    <t xml:space="preserve">4 / 6</t>
  </si>
  <si>
    <t xml:space="preserve">4 / 4</t>
  </si>
  <si>
    <t xml:space="preserve">8 / 12</t>
  </si>
  <si>
    <t xml:space="preserve">1 / 1</t>
  </si>
  <si>
    <t xml:space="preserve">1 / 2</t>
  </si>
  <si>
    <t xml:space="preserve">6 / 6</t>
  </si>
  <si>
    <t xml:space="preserve">8 / 2</t>
  </si>
  <si>
    <t xml:space="preserve">4 / 8</t>
  </si>
  <si>
    <t xml:space="preserve">2 / 4</t>
  </si>
  <si>
    <t xml:space="preserve">6 / 8</t>
  </si>
  <si>
    <t xml:space="preserve">4 / 2</t>
  </si>
  <si>
    <t xml:space="preserve">Examiner report key messages (per paper)</t>
  </si>
  <si>
    <t xml:space="preserve">Key messages</t>
  </si>
  <si>
    <t xml:space="preserve">General comments</t>
  </si>
  <si>
    <t xml:space="preserve">9708/21/M/J/22</t>
  </si>
  <si>
    <t xml:space="preserve">• Candidates need to ensure they focus on the particular ‘command’ or ‘directive’ word that is being used in a question, such as ‘describe’, ‘explain’, ‘analyse’ or ‘discuss’.
• It is important candidates understand that in the second part of the ‘discuss’ questions in Section B, a certain number of marks can be awarded for ‘evaluation’. There is often a clue in the question to guide candidates towards this, such as in Question 2(b) which required candidates to discuss the advantages of a mixed economy and whether it was always preferable to a planned economy. Or in Question 3(b), which required candidates to discuss whether the incidence of a tax on a manufactured product always fell mainly on the producer. Or in Question 4(b), which required candidates to discuss whether export subsidies were always a better method of protectionism than tariffs.
• It is also important that candidates understand the need to include the use of relevant diagrams in their answers where these are explicitly asked for in a question, such as in Question 1(d).
• Candidates need to ensure that diagrams are correctly drawn and clearly labelled. There were a number of examples of poor labelling and, in some cases, no labelling at all. As has been pointed out above, diagrams were required in Question 1(d), but there were other questions where diagrams could have been used to good effect to support an answer, such as Question 3(b).
• It is important that candidates read the questions very carefully to avoid making an error in their answer. For example, in Question 1(a), some candidates described what happened in every year between 2009 and 2019 rather than describing the overall trend in the annual inflation rate of Bangladesh, while in Question 2(b), some candidates wrote exclusively about the advantages and disadvantages of a mixed economy and a planned economy rather than about whether a mixed economy was always preferable to a planned economy.</t>
  </si>
  <si>
    <t xml:space="preserve">Diagrams were explicitly required in one of the questions in Section A, Question 1(d), but despite this instruction, some candidates did not include them. It was clear in some responses that candidates had not looked closely at the ‘command’ or ‘directive’ word being used in the question. It is important that candidates do recognise whether they are being asked to ‘describe, ‘explain’, ‘analyse’ or ‘discuss’ something. It is also important that candidates focus on whether there is any additional guidance provided in a question, such as in Question 4 (b), where candidates were required to discuss whether export subsidies were always a better method of protectionism than tariffs, and yet some candidates provided answers that made no reference to the particular circumstances of export subsidies and tariffs.</t>
  </si>
  <si>
    <t xml:space="preserve">9708/21/M/J/23</t>
  </si>
  <si>
    <t xml:space="preserve">• Candidates need to ensure they focus on the particular ‘command’ word that is being used in a question, such as ‘calculate’, ‘consider’, ‘explain’ or ‘assess’.
• It is important candidates understand that in some questions, a certain number of marks can be awarded for ‘evaluation’. These were Questions 1(c), 1(d), 1(e) and all questions in Sections B and C.
• It is important that candidates understand the need to include the use of relevant diagrams in their answers where these are explicitly asked for in a question, such as in Questions 2(a), 3(b), 4(a) or 5(a).
• An appropriate formula should be included in answers when they are explicitly asked for in a question, such as the formula for cross elasticity of demand in Question 3(a).
• Candidates need to ensure that diagrams are correctly drawn and clearly labelled. There were a number of examples of poor labelling and, in some cases, no labelling at all. As has been pointed out above, diagrams were required in a number of questions, but there were other questions where diagrams could have been used to good effect to support an answer, such as Question 4(b).
• It is important that candidates read the questions very carefully to avoid making an error in their answer. For example, in Question 1 (a), some candidates described what happened in every month between July 2020 and May 2021 rather than calculating what happened over the period as a whole, while in Question 2 (b), some candidates wrote exclusively about the provision of education in the public sector rather than about whether it should be classified as a public good or a merit good.</t>
  </si>
  <si>
    <t xml:space="preserve">Diagrams were explicitly required in a number of the questions, but despite this instruction, some candidates did not include them. It was obvious in some answers that candidates had not looked closely at the ‘command’ word being used in the question. It is important that candidates do recognise whether they are being asked to ‘calculate’, ‘explain’, ‘consider’ or ‘assess’ something. It is also important that candidates focus on whether there is any additional guidance provided in a question, such as in Question 3(b), where candidates were required to assess whether the benefits of a buffer stock scheme always outweighed its disadvantages.</t>
  </si>
  <si>
    <t xml:space="preserve">9708/21/M/J/24</t>
  </si>
  <si>
    <t xml:space="preserve">• Candidates need to ensure they focus on the particular ‘command’ or ‘directive’ word that is being used in a question, such as ‘assess’, ‘calculate’, ‘consider’, ‘explain’ or ‘identify’ something.
• It is important candidates understand that in some questions, a certain number of marks can be awarded for ‘evaluation’. These were Questions 1(c), 1(d), 1(e) and all questions in Sections B and C. There is often a clue in the question to guide candidates towards this, such as in Question 1(c) which required candidates to consider the extent to which depreciation of the Sri Lankan rupee could improve the country’s balance of trade in goods and services, or in Question 3(a) which required candidates to explain, with the help of a formula, what is meant by the income elasticity of demand for a product and consider the extent to which demand for the product will always rise at the same rate as the income of its consumers, or in Question 5(b) which required candidates to assess which expansionary macroeconomic policy would be most likely to enable a government to meet its economic objective of a low rate of unemployment.
• Candidates need to understand that an appropriate formula should be included in answers when they are explicitly asked for in a question, such as the formula for income elasticity of demand in Question 3(a).
• Candidates need to ensure that diagrams are correctly drawn and clearly labelled. There were, unfortunately, a number of examples of poor labelling and, in some cases, no labelling at all. There were a number of questions where diagrams could have been used to good effect to support an answer, such as Question 4(a).
• It is important that candidates read the questions very carefully to avoid making an error in their answer. For example, in Question 1 (a), some candidates described what happened in all of the months shown in Table 1.1 rather than identifying the overall trend in Sri Lanka’s balance of trade in goods and services between January 2022 and January 2023, while in Question 2 (a), some candidates wrote about demerit goods despite the fact that there was no reference to demerit goods in the question.</t>
  </si>
  <si>
    <t xml:space="preserve">It was obvious in some answers that candidates had not looked closely at the ‘command’ or ‘directive’ word being used in the question. It is important that candidates do recognise whether they are being asked to ‘assess’, ‘calculate, ‘consider’, ‘explain’ or ‘identify’ something. It is also important that candidates focus on whether there is any additional guidance provided in a particular question, such as in Question 2 (b), where candidates were required to assess whether a planned economic system should always switch to a mixed economy.</t>
  </si>
  <si>
    <t xml:space="preserve">9708/21/M/J/25</t>
  </si>
  <si>
    <t xml:space="preserve">• Candidates need to ensure they focus on the particular ‘command’ or ‘directive’ word that is being used in a question, such as ‘assess’, ‘compare’, ‘consider’, ‘describe’ or ‘explain’.
• It is important candidates understand that in some questions, a certain number of marks can be awarded for ‘evaluation’. These were Questions 1(c), 1(d), 1(e) and all questions in Sections B and C. There is often a clue in the question to guide candidates towards this, such as in Question 1(c) which required candidates to consider whether disinflation was more harmful than deflation, or in Question 3(a) which required candidates to explain, with the help of a diagram, how changes in a subsidy could influence the price and quantity sold of a product in a market and consider how expenditure on a subsidy is affected by the price elasticity of demand for the product, or in Question 5(b) which required candidates to assess whether expansionary fiscal policy always benefits an economy.
• Candidates need to ensure that diagrams are correctly drawn and clearly labelled. There were, unfortunately, a number of examples of poor labelling and, in some cases, no labelling at all. In addition to the questions which explicitly required a diagram to be drawn (Questions 2 (a) and 3 (a)), there were a number of questions where diagrams could have been used to good effect to support an answer, such as Question 4 (a) and Question 5 (b).
• It is important that candidates read the questions very carefully to avoid making an error in their answer. For example, in Question 1 (a), some candidates described what happened in all of the months shown in Table 1.1 rather than comparing changes in the inflation rate and changes in the interest rate in the US, while in Question 5 (a), some candidates wrote about the surplus or deficit in the current account of the balance of payments rather than a budget surplus or budget deficit.</t>
  </si>
  <si>
    <t xml:space="preserve">It was obvious in some answers that candidates had not looked closely at the ‘command’ or ‘directive’ word being used in the question. It is important that candidates do recognise whether they are being asked to ‘assess’, ‘compare’, ‘consider’, describe’ or ‘explain’ something. It is also important that candidates focus on whether there is any additional guidance provided in a particular question, such as in Question 3 (b), where candidates were required to assess whether an increase in the tax on a demerit good is always the best way to reduce the consumption of a product or in Question 4(b), where candidates were required to assess whether the potential benefits of free trade always outweigh the arguments for protection.</t>
  </si>
  <si>
    <t xml:space="preserve">9708/21/M/J/26</t>
  </si>
  <si>
    <t xml:space="preserve">What candidates did well:
• Candidates demonstrated clear knowledge of core economic concepts, such as inflation, aggregate demand, unemployment and international trade.
• Candidates showed good understanding of macroeconomic tools, including fiscal policy and supply-side policies, with clear explanations of how government spending or training could affect unemployment in an economy in Question 4(b).
• Candidates produced well-developed chains of reasoning, especially when developing links to provide a logical chain of argument.
• Candidates applied concepts effectively in relation to the classification of goods and services, such as in relation to the concepts of rivalry and excludability in Question 2(a).
• Candidates showed clear evaluative skills, offering balanced arguments and assessments, such as in relation to the reduction of the over-consumption of a demerit good in Question 2(b) or the arguments for and against protectionism in Question 5(b).
What candidates needed to improve:
• Candidates needed to demonstrate clearer understanding of some key topics, such as real wages in Question 1(a), interest rates Question 1(d), progressive income tax Question 3(b) and tools of protection Question 5(a).
• Candidates needed to further interpret data response questions, such as in Question 1(a), using the data to produce a correct answer.
• Candidates needed to have a better understanding of key terms and concepts, such as in relation to the difference between frictional unemployment and structural unemployment in Question 4(a).
• Candidates needed to develop answers more fully in relation to particular policies, such as in relation to supply-side policy in Question 4(b).
• Candidates needed to evaluate more, providing balanced arguments including a consideration of both sides of an argument with a justified conclusion, such as in relation to the redistribution of income in Question 3(b) or the reduction of unemployment in Question 4(b).</t>
  </si>
  <si>
    <t xml:space="preserve">9708/21/O/N/21</t>
  </si>
  <si>
    <t xml:space="preserve">• Candidates need to ensure they focus on the particular ‘command’ or ‘directive’ word that is being used in a question, such as ‘compare’, ‘explain’, or ‘discuss’.
• It is important candidates understand that in the second part of the ‘discuss’ questions in Section B, a certain number of marks can be awarded for ‘evaluation’. There is often a clue in the question to guide candidates towards this, such as in Question 2 (b) which required candidates to discuss whether the advantages of a transition from a planned economy to a market economy always outweighed the disadvantages or in Question 3 (b) which required candidates to discuss whether decisions made by a business were more likely to be influenced by knowledge of the price elasticity of demand for its product or by knowledge of the price elasticity of supply of its product.
• It is also important that candidates understand the usefulness of relevant examples in their answers, even when these are not explicitly asked for in a question, such as in Question 3 (a) where they were asked to explain the consequences for consumers and producers of introducing a minimum price in the market for a product.
• Candidates need to ensure that diagrams are correctly drawn and clearly and accurately labelled. There were a number of examples of poor labelling and, in some cases, no labelling at all. A diagram was required in Questions 1(b), 2(a), 3(a) and 4(a), but there were other questions where diagrams could have been used to support an answer.
• It is important that candidates read questions very carefully to avoid making an error in their answer. For example, in Question 1(a), some candidates wrote about deflation rather than inflation, while in Question 1(c), some candidates wrote about a characteristic or an attribute, rather than a function, of money. In Question 2(b), some candidates wrote about a transition from a planned economy to a mixed, rather than a market, economy, while in Question 3(a), some candidates wrote about the consequences for consumers and producers of introducing a maximum price, rather than a minimum price, in the market for a product.</t>
  </si>
  <si>
    <t xml:space="preserve">A diagram was explicitly required in one of the questions in Section A, Question 1(b), and in three of the questions in Section B, Questions 2(a), 3(a) and 4(a), but despite these instructions, some candidates did not include one. It was obvious in some answers that candidates had not looked closely at the ‘command’ or ‘directive’ word being used in the question. It is important that candidates do recognise whether they are being asked to ‘compare, ‘explain’ or ‘discuss’ something. It is also important that candidates focus on whether there is any additional guidance provided in a question, such as in Question 4(b), where candidates were required to discuss whether expenditure-reducing policies were likely to reduce the current account deficit of the balance of payments for an economy with a floating exchange rate. Some candidates simply wrote about the various expenditure-reducing policies that could be used to correct such a deficit without considering the fact that the economy had a floating exchange rate.</t>
  </si>
  <si>
    <t xml:space="preserve">9708/21/O/N/22</t>
  </si>
  <si>
    <t xml:space="preserve">• Candidates need to ensure they focus on the particular ‘command’ or ‘directive’ word that is being used in a question, such as ‘explain’, ‘consider’ or ‘discuss’.
• It is important candidates understand that in the second part of the ‘discuss’ questions in Section B, a certain number of marks can be awarded for ‘evaluation’. There is often a clue in the question to guide candidates towards this, such as in Question 2(b) which required candidates to discuss whether knowledge of price elasticity of demand or income elasticity of demand would be of greater use to a business that produces cars or in Question 3(b) which required candidates to discuss whether supply side policies would be successful in increasing the quantity and quality of the factor enterprise in a modern economy or in Question 4(b) which required candidates to discuss whether protectionist policies would be the most effective way to correct a current account deficit on the balance of payments in an economy.
• It is also important that candidates understand the usefulness of relevant examples in their answers, even when these are not explicitly asked for in a question, such as in Question 3(b) where they were asked to discuss the success of supply side policies in a particular context.
• Candidates need to ensure that diagrams are correctly drawn and clearly and accurately labelled. There were, unfortunately, a number of examples of poor labelling and, in some cases, no labelling at all. A diagram was required in Question 1(c), Question 3(a) and Question 4(a), but there were other questions where diagrams could have been used to good effect to support an answer.
• It is important that candidates read questions very carefully to avoid making an error in their answer. For example, in Question 1(c), some candidates wrote about a maximum price rather than a minimum price, while in Question 1(e), some candidates wrote about a minimum price rather than a maximum price. In Question 2(b), some candidates wrote about cross elasticity of demand, in addition to price elasticity of demand and income elasticity of demand, even though this was not required in the question, while in Question 3(b), some candidates wrote about monetary policies and fiscal policies in relation to increasing the quantity and quality of enterprise in a modern economy, even though this was not required in the question. In Question 4(a), some candidates wrote about factors that could bring about an appreciation, rather than a depreciation, in the value of a country’s exchange rate in a freely floating exchange rate system.</t>
  </si>
  <si>
    <t xml:space="preserve">A diagram was explicitly required in one of the questions in Section A, Question 1(c), and in two of the questions in Section B, Questions 3(a) and 4(a), but despite these instructions, some candidates did not include one. It was obvious in some answers that candidates had not looked closely at the ‘command’ or ‘directive’ word being used in the question. It is important that candidates do recognise whether they are being asked to ‘explain’, ‘consider’ or ‘discuss’ something. It is also important that candidates focus on whether there is any additional guidance provided in a question, such as in Question 3 (b), where candidates were required to discuss whether supply side policies would be successful in increasing the quantity and quality of the factor enterprise in a modern economy. Some candidates simply wrote about different supply side policies in general without any specific reference to the factor enterprise.</t>
  </si>
  <si>
    <t xml:space="preserve">9708/21/O/N/23</t>
  </si>
  <si>
    <t xml:space="preserve">• Candidates need to ensure they focus on the particular ‘command’ or ‘directive’ word that is being used in a question, such as ‘calculate’, ‘state’, ‘consider’, ‘explain’ or ‘assess’.
• It is important candidates understand that in some questions, a certain number of marks can be awarded for ‘evaluation’. These were Questions 1(b), 1(d), 1(e) and all questions in Sections B and C. There is often a clue in the question to guide candidates towards this, such as in Question 1(b) which required candidates to consider which of two internal causes of economic growth for Taiwan in 2021 was more likely to generate long-term economic growth or in Question 3(a) which required candidates to explain why a government might decide to increase its direct provision of essential goods and services and consider whether such a policy was always likely to be successful or in Question 5(b) which required candidates to assess whether the theories of absolute and comparative advantage were substantially undermined by their various limitations.
• Candidates need to ensure that diagrams are correctly drawn and clearly labelled. There were a number of examples of poor labelling and, in some cases, no labelling at all. Diagrams were required in Question 2(a), but there were other questions where diagrams could have been used to good effect to support an answer, such as Question 3(b).
• It is important that candidates read the questions carefully to avoid making an error in their answer. For example, in Question 1(b), some candidates stated and considered two external, rather than internal, causes of economic growth for Taiwan in 2021, while in Question 2(b), some candidates wrote about cross elasticity of demand (XED) despite the fact that there was no reference to cross elasticity of demand in the question. In Question 3(b), some candidates wrote about minimum, rather than maximum, prices.</t>
  </si>
  <si>
    <t xml:space="preserve">A diagram was explicitly required in Question 2(a), but despite this instruction, some candidates did not include one. It is also important that candidates focus on whether there is any additional guidance provided in a question, such as in Question 4(b), where candidates were required to assess whether a government should always aim to balance its budget rather than have a budget surplus or a budget deficit.</t>
  </si>
  <si>
    <t xml:space="preserve">9708/21/O/N/24</t>
  </si>
  <si>
    <t xml:space="preserve">• Candidates need to ensure they focus on the particular ‘command’ or ‘directive’ word that is being used in a question, such as ‘assess’, ‘consider’, ‘describe’ or ‘explain’.
• It is important candidates understand that in some questions, a certain number of marks can be awarded for ‘evaluation’. These were Questions 1(c), 1(d), 1(e) and all questions in Section B and C. There is often a clue in the question to guide candidates towards this, such as in Question 1(c) which required candidates to consider the extent to which having the fifth highest inflation rate in the world was likely to be a problem for Argentina’s economy, or in Question 3(a) which required candidates to explain, with the help of a diagram, the significance of a position within a market economy’s production possibility curve (PPC) and consider whether such a position was likely to be permanent, or in Question 5(b) which required candidates to assess whether an economy would always benefit from having a surplus on the current account of its balance of payments.
• Candidates need to ensure that diagrams are correctly drawn and clearly labelled. There were a number of examples of poor labelling and, in some cases, no labelling at all. In addition to the question which explicitly required a diagram to be drawn (Question 3(a)), there were a number of questions where diagrams could have been used to good effect to support an answer, such as Question 1(d) and Question 4(a).
• It is important that candidates read the questions very carefully to avoid making an error in their answer. For example, in Question 1(a), some candidates described what happened in all of the months shown in Fig 1.1 rather than describing the overall trend shown in the annual inflation rate in Argentina over the period from February 2021 to January 2022, while in Question 2(b), some candidates wrote about the price elasticity of demand for agricultural and manufactured products rather than the price elasticity of supply of such products.</t>
  </si>
  <si>
    <t xml:space="preserve">It was obvious in some answers that candidates had not looked closely at the ‘command’ or ‘directive’ word being used in the question. It is important that candidates do recognise whether they are being asked to ‘assess’, ‘consider’, describe’ or ‘explain’ something. It is also important that candidates focus on whether there is any additional guidance provided in a particular question, such as in Question 3(b), where candidates were required to assess whether consumers always benefitted when the government of a mixed economy reduced the role of the market mechanism in allocating resources or in Question 4(b), where candidates were required to assess whether a government should always aim for an expansionary fiscal policy rather than a contractionary fiscal policy.</t>
  </si>
  <si>
    <t xml:space="preserve">9708/21/O/N/25</t>
  </si>
  <si>
    <t xml:space="preserve">• Candidates need to ensure they focus on the particular ‘command’ or ‘directive’ word that is being used in a question, such as ‘assess’, ‘consider’, ‘describe’ or ‘explain’.
• It is important candidates understand that in some questions, a certain number of marks can be awarded for ‘evaluation’. These were Questions 1(c), 1(d), 1(e) and all questions in Sections B and C. There is often a clue in the question to guide candidates towards this, such as in Question 1(c) which required candidates to consider the extent to which direct provision of electricity in Mexico through state-owned companies may be advantageous to consumers, or in Question 3(a) which required candidates to explain, with the help of examples, the nature and characteristics of free goods and private goods (economic goods) and consider the significance of the distinction between these two types of good, or in Question 5(b) which required candidates to assess whether all consumers, all producers and the government in a country will benefit equally from protectionism.
• Candidates need to ensure that diagrams are correctly drawn and clearly labelled. There were a number of examples of poor labelling and, in some cases, no labelling at all. In addition to the question which explicitly required a diagram to be drawn (Question 1(d), there were a number of questions where diagrams could have been used to good effect to support an answer, such as Question 2(b) and Question 5(a).
• It is important that candidates read the questions very carefully to avoid making an error in their answer. For example, in Question 1 (c), some candidates considered the possible advantages of the direct provision of electricity in Mexico through state-owned companies rather than focusing specifically on the advantages to consumers, while in Question 3 (b), some candidates wrote about merit goods and demerit goods rather than about merit goods and public goods.</t>
  </si>
  <si>
    <t xml:space="preserve">It was obvious in some answers that candidates had not looked closely at the ‘command’ or ‘directive’ word being used in the question. It is important that candidates do recognise whether they are being asked to ‘assess’, ‘consider’, describe’ or ‘explain’ something. It is also important that candidates focus on whether there is any additional guidance provided in a particular question, such as in Question 2 (a), where candidates were required to explain, with the help of a formula, what was meant by price elasticity of demand for a product and to consider the importance of time in determining whether demand for the product was likely to be relatively price elastic or relatively price inelastic, or in Question 5(b), where candidates were required to assess whether all consumers, all producers and the government in a country would benefit equally from protectionism.</t>
  </si>
  <si>
    <t xml:space="preserve">9708/22/F/M/21</t>
  </si>
  <si>
    <t xml:space="preserve">• Questions may be drawn from any part of the applicable syllabus, and it is essential that candidates are prepared across the whole range of the syllabus. This is particularly essential for the compulsory data response Question 1.
• Knowledge and understanding must be accurate, clear, and relevant to the question being answered. Vague knowledge and understanding will gain little or no credit.
• Application is only rewarded when the knowledge and understanding is accurate and correctly used to answer the question. Candidates should avoid unnecessary descriptions/explanations of, e.g. economic concepts and theories which may be correct but are not clearly applied to the set question.
• Analysis involves an assessment rather than a series of unexplained assertions/statements. This involves, e.g. an assessment of the strengths and weaknesses/usefulness of economic theory/ concepts and policies where relevant. Simple or unexplained assertions will receive little or no credit.
• Summative statements/paragraphs do not necessarily result in evaluation marks being awarded. Evaluation must be based on accurate analysis which is assessed to present an answer to the question. One mark is generally reserved for a justified conclusion where appropriate.
• Finally, candidates should be encouraged to spend time reading the questions and carefully noting the mark allocations. This should avoid spending unnecessary time and effort, e.g. on low mark questions and presenting accurate yet irrelevant material within the answer and instead focusing on the requirements of the question itself.</t>
  </si>
  <si>
    <t xml:space="preserve">• There was a wide range of marks across the paper and the comments below illustrate some of the reasons for the variation.
• Analysis and evaluation marks could be improved by ensuring that points made by candidates are explained rather than asserted and that evaluation clearly attempts a judgement of the analysis to arrive at an answer to the set question. If done well, this would often move a written script from a low- / mid- range response to a high ranking one.
• Generally, though, there were some very pleasing scripts and much evidence that certain candidates had been very well prepared during a difficult period for learning. There were also very few rubric errors and little evidence that candidates did not have enough time.</t>
  </si>
  <si>
    <t xml:space="preserve">9708/22/F/M/22</t>
  </si>
  <si>
    <t xml:space="preserve">• Data response questions are compulsory and may arise from any part of the syllabus. It is therefore necessary that candidates are fully prepared across the whole breadth of the syllabus.
• Application of knowledge and understanding must be both accurate and relevant to the question asked and consequently, candidates should carefully read the questions set to ensure their answers are appropriate. This should then prevent time and effort being wasted on unnecessary and irrelevant responses.
• Analysis must be well directed, accurate and sufficiently developed to cover all aspects of a question. It should make clear use of economic theories, concepts, and information as appropriate. Simple assertions without any explanation are not credited as analysis. In part (b) of the essay questions, definitions and simple knowledge and understanding of concepts within the question may be used to strengthen analysis but will not be rewarded in isolation.
• Evaluative comment should be balanced and clearly drawn from appropriate analysis and sufficiently detailed to lead to a reasoned conclusion that answers the question. Normally, this will require the candidate to clearly compare the strength of two or more arguments.</t>
  </si>
  <si>
    <t xml:space="preserve">Overall, the question paper produced a wide range of marks even within the same centre. Knowledge and understanding were generally sound although some common misunderstandings persist as detailed in the comments on specific questions. The main cause of low marks, apart from flawed knowledge and understanding, was a tendency to assert rather than explain / analyse the points made. This also led to a lack of suitable evaluation in part (b) of the essays. There were very few rubric errors and no evidence of insufficient time to complete the paper. However, it is clear that some candidates continue to disregard the mark allocations and thus spend a disproportionate amount of time on 2 and 4 mark questions at the expense of the 6, 8 and 12 mark questions.</t>
  </si>
  <si>
    <t xml:space="preserve">9708/22/F/M/23</t>
  </si>
  <si>
    <t xml:space="preserve">• This examination was the first to be held in the new format. The crucial differences to the old style were that: (a) The examination lasted 2 hours rather than 1 hour. (b) The knowledge and understanding marks have now been amalgamated with those for allocation. (c) There is now more emphasis on evaluation. (d) Two essays are now required: one predominantly micro and one predominantly macro based. This has led to the following:
• Candidates now need to allocate their time more effectively according to the mark allocations for each question. There were examples of candidates seemingly running out of time having spent unproductive time on short answer questions.
• Candidates need to note that credit will not be given for lists of points or unexplained points unless the command word is identify. Points must be explained in the context of the question, i.e., they need to be applied to gain credit.
• Question 1 has between 7 and 8 marks out of 20 for evaluation. Essay questions in parts B and C now gain 6 marks in total. When the question asks candidates to ‘consider’ or ‘assess’ then they are being asked to make a judgement. However, such judgements must consider at least two points of view and must be based on preceding analysis. Simple summaries are unlikely to be credited unless some judgement is made.
• Candidates need to ensure that all parts of the syllabus are revised to answer the new range of knowledge required.</t>
  </si>
  <si>
    <t xml:space="preserve">• Most candidates appeared to have sufficient time to complete the paper although there was evidence of some rushing at the end, particularly if too much time had been spent on earlier short answer questions. Better time management is essential in such cases.
• There was a good range of marks, but more answers gained less than 50%, perhaps due to the higher percentage of evaluation marks within the paper.
• The increased number of evaluation marks available must be stressed to candidates particularly on Question 1 and part (a) of essays as must the need to focus on answering the set question based on preceding analysis when evaluating.
• In addition, the amalgamation of knowledge and understanding and application marks also needs to be stressed as this means points made must always be explained rather than asserted.
• Finally, very few rubric errors were identified.</t>
  </si>
  <si>
    <t xml:space="preserve">9708/22/F/M/24</t>
  </si>
  <si>
    <t xml:space="preserve">• For Question 1, data response, one important change within the new syllabus is that 4–s and 6-mark questions will contain a requirement for explained analysis and evaluation. Similarly, knowledge and understanding marks will only be awarded if they are relevant to the question and, where possible, within the context of the data itself.
• Part (a) of essay questions is now split on a 3,3 2 basis. AO1 gains up to 3 marks, AO2 up to 3 marks and AO3 up to 2 marks. Candidates need to organise their answers based on this split and must be encouraged to apply all knowledge and understanding to the question that is set. Furthermore, all analysis should be relevant and fully explained to gain credit. Answers that simply state facts without any explanation are very unlikely to gain credit. Finally, evaluation must compare and contrast the preceding analysis and make a judgement to answer the question to be awarded marks.
• In part (b) of essay questions, answers which examine one side of the question only will be highly unlikely to gain more than mid-level 2 analysis and will not be awarded evaluation marks as they are unlikely to fully answer the question.
• Candidates therefore need to be fully prepared by centres to follow this approach to maximise their marks.
• Centres are further reminded that questions may be drawn from any part of the syllabus and therefore full coverage of the syllabus is essential.</t>
  </si>
  <si>
    <t xml:space="preserve">• Overall, a full range of marks was in evidence and there was a pleasing number of high marks within the whole cohort.
• Equally, there was a significant minority of candidates who were underprepared for the examination and achieved low marks despite, in some circumstances, writing a great deal.
• Rubric errors were rare, and most candidates answered the correct number of questions from the correct sections of the paper.
• For most candidates, time did not appear to be a problem and most appeared to finish with enough time. However, there is still a tendency to spend too much time on the 2-mark questions and also on detailed discussions within essays of information that is not relevant to the question.
• Although most scripts were legible, there was still a significant minority where handwriting was indistinct. Every candidate will want their hard work to be accredited but need to take more care in certain instances, to ensure that it can be clearly read by examiners.</t>
  </si>
  <si>
    <t xml:space="preserve">9708/22/M/J/22</t>
  </si>
  <si>
    <t xml:space="preserve">• Questions may be drawn from any part of the applicable syllabus, and it is essential that candidates are prepared across the whole range of the syllabus. This is particularly essential for the compulsory data response Question 1.
• Knowledge and understanding must be accurate, clear, and relevant to the question being answered. Vague knowledge and understanding will gain little or no credit.
• Application is only rewarded when the knowledge and understanding is accurate and correctly used to answer the question. Candidates should avoid unnecessary descriptions or explanations of, for example, economic concepts and theories which may be correct but are not clearly applied to the set question.
• Analysis involves an assessment rather than a series of unexplained assertions / statements. This involves, for example, an assessment of the strengths and weaknesses / usefulness of economic theory / concepts and policies where relevant. Simple or unexplained assertions will receive little or no credit.
• Summative statements / paragraphs do not necessarily result in evaluation marks being awarded. Evaluation must be based on accurate analysis which is assessed to present an answer to the question. One mark is generally reserved for a justified conclusion where appropriate.
• Finally, candidates should be encouraged to spend time reading the questions and carefully noting the mark allocations. This should avoid spending unnecessary time and effort on low mark questions or presenting accurate yet irrelevant material within the answer and instead focusing on the requirements of the question itself.</t>
  </si>
  <si>
    <t xml:space="preserve">• A wide range of marks was in evidence across all candidates taking this paper and the main reasons for this are detailed in the specific comments below.
• Certain questions clearly presented more problems than others, especially Questions 1(a)(ii), 1(a)(iii), 1(b), 1(c) and 3(b). In most cases, this was a result of incomplete / inaccurate knowledge and understanding although for 1(c) and 3(b) this also appeared to be exacerbated by a failure to read and understand the question properly.
• Analysis and evaluation marks could be improved by ensuring that points made by candidates are explained rather than asserted and that evaluation clearly attempts a judgement of the analysis to arrive at an answer to the set question. If done well, this would often move a written script from a low / mid- range response to a high ranking one.
• Generally, though, there were some very strong scripts and much evidence that certain candidates had been very well prepared. There were also very few rubric errors and little evidence that candidates did not have enough time.</t>
  </si>
  <si>
    <t xml:space="preserve">9708/22/M/J/23</t>
  </si>
  <si>
    <t xml:space="preserve">• For Question 1, data response, one important change within the new syllabus is that 4- and 6-mark questions will contain a requirement for explained analysis and evaluation. Similarly, knowledge and understanding marks will only be awarded if they are relevant to the question and, where possible, within the context of the data itself.
• Part (a) of essay questions is now split on a 3, 3, 2 basis. AO1 gains up to 3 marks, AO2 up to 3 marks and AO3 up to 2 marks. Candidates need to organise their answers based on this split and must be encouraged to apply all knowledge and understanding to the question that is set. Furthermore, all analysis should be relevant and fully explained to gain credit. Answers that simply state facts without any explanation are very unlikely to gain credit. Finally, evaluation must compare and contrast the preceding analysis and make a judgement to answer the question to be awarded marks.
• In part (b) of essay questions, answers which examine one side of the question only will be highly unlikely to gain more than mid-Level 2 analysis and will not be awarded evaluation marks as they are unlikely to fully answer the question.
• Candidates therefore need to be fully prepared by centres to follow this approach to maximise their marks.
• Centres are further reminded that questions may be drawn from any part of the syllabus and therefore full coverage of the syllabus is essential.</t>
  </si>
  <si>
    <t xml:space="preserve">• Overall, a full range of marks was in evidence and there was a pleasing number of high marks within the whole cohort.
• Equally, there was a significant minority of candidates who were underprepared for the examination and achieved very low marks despite, in some circumstances, writing a great deal.
• Rubric errors were pleasingly rare, and most candidates answered the correct number of questions from the correct sections of the paper.
• For most candidates, time did not appear to be a problem and most appeared to finish with enough time. However, there is still a tendency to spend too much time on the 2-mark questions and also on detailed discussions within essays of information that is not relevant to the question.
• Although most scripts were legible, there was still a significant minority where handwriting was indistinct. Every candidate will want their hard work to be accredited but need to take more care in certain instances, to ensure that it can be clearly read by Examiners.</t>
  </si>
  <si>
    <t xml:space="preserve">9708/22/M/J/24</t>
  </si>
  <si>
    <t xml:space="preserve">• For Question 1, data response, one important change within the new syllabus is that 4– and 6-mark questions will contain a requirement for explained analysis and evaluation. Similarly, knowledge and understanding marks will only be awarded if they are relevant to the question and, where possible, within the context of the data itself.
• Part (a) of essay questions is now split on a 3, 3 2 basis. AO1 gains up to 3 marks, AO2 up to 3 marks and AO3 up to 2 marks. Candidates need to organise their answers based on this split and must be encouraged to apply all knowledge and understanding to the question that is set. Furthermore, all analysis should be relevant and fully explained to gain credit. Answers that simply state facts without any explanation are very unlikely to gain credit. Finally, evaluation must compare and contrast the preceding analysis and make a judgement to answer the question to be awarded marks.
• Whilst the use of accurate graphs, formulae and concepts is strongly encouraged and is indeed a very important part of answering most questions, it is important to note that without further explanation and analysis, such a focus alone will only be credited as AO1. Analysis is underpinned by such knowledge and understanding but to move into AO2 and AO3, it requires further elaboration and explanation/application.
• In part (b) of essay questions, answers which examine one side of the question only will be highly unlikely to gain more than mid-Level 2 analysis and will not be awarded evaluation marks as they are unlikely to fully answer the question.
• Candidates therefore need to be fully prepared by centres to follow this approach to maximise their marks.
• Centres are further reminded that questions may be drawn from any part of the syllabus and therefore full coverage (including all new areas) of the syllabus is essential.</t>
  </si>
  <si>
    <t xml:space="preserve">• Overall, a full range of marks was in evidence and there was a pleasing number of high marks within the whole cohort.
• Equally, there was a significant minority of candidates who were clearly underprepared for the examination and achieved very low marks despite, in some circumstances, writing a great deal.
• Rubric errors were pleasingly rare, and most candidates answered the correct number of questions from the correct sections of the paper.
• For most candidates, time did not appear to be a problem and most appeared to finish with enough time. However, there is still a tendency to spend too much time on the 2-mark questions and also on detailed discussions within essays of information that is not relevant to the question.
• Although most scripts were legible, there was still a significant minority where handwriting was indistinct. Every candidate will want their hard work to be accredited but need to take more care in certain instances, to ensure that it can be clearly read by Examiners.</t>
  </si>
  <si>
    <t xml:space="preserve">9708/22/M/J/25</t>
  </si>
  <si>
    <t xml:space="preserve">(a) Focus on the Question – Many candidates gave general answers rather than directly addressing the specific question, which limited their marks. It’s essential to tailor responses to the question’s demands. (b) Importance of Evaluation – While analysis was often present, many candidates failed to provide balanced evaluation or judgment. Including evaluative comments is crucial for higher marks. (c) Use of Diagrams – Candidates frequently neglected to include diagrams or drew them incorrectly. Correct and labelled diagrams help support explanations and can boost marks. (d) Conceptual Understanding – Some candidates confused key economic concepts (e.g., public goods vs government-provided private goods) and struggled with terms of trade and exchange rate mechanisms. Solid understanding of core concepts is vital.</t>
  </si>
  <si>
    <t xml:space="preserve">This paper tested candidates’ knowledge, analysis, and evaluation skills across a wide range of economic topics. Many candidates showed understanding of core concepts, particularly fiscal policy, market failure, and shifts in supply and demand. However, some issues limited overall performance. Some candidates did not focus their answers directly on the question asked, often providing general descriptions instead of applying their knowledge to the specific context. Evaluation was limited in many responses, with few candidates developing balanced judgments. Diagrams were sometimes omitted or poorly drawn, affecting the ability to gain marks for analysis. There were also misunderstandings of concepts such as the distinction between public goods and government-provided private goods, as well as the concepts of terms of trade and exchange rate influences. Candidates who combined focused responses with evaluation and included diagrams generally achieved higher marks. Candidates are reminded that evaluation should not consist of summative statements nor a series of statements preceded by ‘it depends upon’ etc. Nor should it simply analyse the strengths and weaknesses of individual arguments. Evaluation is the comparison of the strengths and weaknesses of different concepts etc., leading to a conclusion that attempts to answer the question set. Answers that do this clearly will always gain high marks. Most candidates appeared to have enough time to complete the paper and most were reasonably legible. However, some scripts were barely readable which may have led to some marks being lost. Care should be taken where possible</t>
  </si>
  <si>
    <t xml:space="preserve">9708/22/M/J/26</t>
  </si>
  <si>
    <t xml:space="preserve">What candidates did well:
• Comprehensive responses used accurate economic terminology and applied concepts directly to the contexts provided.
• Many candidates interpreted numerical data effectively in Section A and used it to support calculations and classifications.
• Diagrams were generally clear, correctly labelled and linked to the written explanation.
• Comprehensive responses demonstrated sound reasoning when assessing policies and explained how outcomes could vary depending on economic conditions.
• Many candidates applied their knowledge to real situations, explaining both what was occurring and why it occurred in economic terms.
What candidates needed to improve:
• Some responses repeated information from the extract or question stem rather than applying economic analysis.
• Definitions of key terms were sometimes incomplete, especially where formulae were required.
• Several diagrams were not labeled or were not integrated into the explanation.
• Evaluation was occasionally asserted without supporting reasoning.
• Some responses would have benefited from clearer planning to maintain focus on the demands of the question.</t>
  </si>
  <si>
    <t xml:space="preserve">9708/22/O/N/21</t>
  </si>
  <si>
    <t xml:space="preserve">• As emphasised in previous reports, data response questions are compulsory and may arise from any part of the syllabus. It is therefore necessary that candidates are fully prepared across the whole breadth of the syllabus.
• Application of knowledge and understanding must be both accurate and relevant to the question asked and consequently, candidates should carefully read the questions set to ensure their answers are appropriate. This should then prevent time and effort being wasted on unnecessary and irrelevant responses.
• Analysis must be well directed, accurate and sufficiently developed to cover all aspects of a question. It should make clear use of economic theories, concepts, and information as appropriate. Simple assertions without any explanation are not credited as analysis. Equally in part b of the essay questions, definitions and simple knowledge and understanding of concepts within the question may be used to strengthen analysis but will not be rewarded in isolation.
• Evaluative comment should be balanced and clearly drawn from appropriate analysis and sufficiently detailed to lead to a reasoned conclusion that answers the question. Normally, this will require the candidate to clearly compare the strength of two or more arguments.</t>
  </si>
  <si>
    <t xml:space="preserve">Most candidates displayed a good level of knowledge and understanding across the question paper. However, some misunderstandings persist as detailed in the comments on specific questions. The main issues, however, often resulted from knowledge and understanding not always correctly applied to the question set and this will also be detailed in the comments on specific questions. Most candidates also attempted some evaluative comment although in most cases this was a summary of the analysis with a brief conclusion and/or a conclusion that did not compare the strengths of the arguments needed to answer the question. Consequently, evaluation marks were often low. Overall, there were very few rubric infringements e.g., answering more than one essay question and most candidates did appear to have sufficient time to complete the paper. However, in some instances, candidates should take better note of the marks allocated and apportion their time spent answering the question more appropriately. For example, one- and two-mark questions will require far less time and writing than six-mark questions.</t>
  </si>
  <si>
    <t xml:space="preserve">9708/22/O/N/22</t>
  </si>
  <si>
    <t xml:space="preserve">• Questions may be drawn from any part of the applicable syllabus, and it is essential that candidates are prepared across the whole range of the syllabus. This is particularly essential for the compulsory data response Question 1.
• Knowledge and understanding must be accurate, clear, and relevant to the question being answered. Vague knowledge and understanding will gain little or no credit.
• Application is only rewarded when the knowledge and understanding is accurate and correctly used to answer the question. Candidates should avoid unnecessary descriptions/explanations of e.g., economic concepts and theories which may be correct but are not clearly applied to the set question.
• Analysis involves an assessment rather than a series of unexplained assertions statements. This involves e.g., an assessment of the strengths and weaknesses/usefulness of economic theory/concepts and policies where relevant. Simple or unexplained assertions will receive little or no credit.
• Summative statements/paragraphs do not necessarily result in evaluation marks being awarded. Evaluation must be based on accurate analysis which is assessed to present an answer to the question. One mark is generally reserved for a justified conclusion where appropriate.
• Finally, candidates should be encouraged to spend time reading the questions and carefully noting the mark allocations. This should avoid spending unnecessary time and effort e.g., on low mark questions and presenting accurate yet irrelevant material within the answer and instead focusing on the requirements of the question itself.</t>
  </si>
  <si>
    <t xml:space="preserve">• A full range of marks was in evidence and pleasingly there were some very good marks.
• As the key messages suggest, apart from obvious errors, the main differentiation lay in whether answers were overly assertive or well explained.
• There were some obvious difficulties at times with the diagrams necessary to answer Questions 1d and 1e as detailed in the subject specific comments below. Candidates need to remember that to be effective, diagrams should be clearly labelled according to the type of curve, the appropriate axes, and any changes as the result of movements or shifts should be clearly shown. They must also be legible and clear. Above all, they must be accurate and explained as necessary because standalone diagrams will not be rewarded unless specifically requested. Even in those circumstances, only few marks will be allocated as shown on the published mark scheme.
• As always, the best route to a high mark, is to fully explain points that are made, ensure that the points made are relevant and accurate and form balanced judgements that fully draw on analysis to answer the questions set as appropriate. It is always highly unlikely that any marks will be given for one sided responses for evaluation to part b of essay questions.</t>
  </si>
  <si>
    <t xml:space="preserve">9708/22/O/N/23</t>
  </si>
  <si>
    <t xml:space="preserve">• For Question 1, data response, one important change within the new syllabus is that 4– and 6-mark questions will contain a requirement for explained analysis and evaluation. Similarly, knowledge and understanding marks will only be awarded if they are relevant to the question and, where possible, within the context of the data itself.
• Part (a) of essay questions is now split on a 3, 3, 2 basis. AO1 gains up to 3 marks, AO2 up to 3 marks and AO3 up to 2 marks. Candidates need to organise their answers based on this split and must be encouraged to apply all knowledge and understanding to the question that is set. Furthermore, all analysis should be relevant and fully explained to gain credit. Answers that simply state facts without any explanation are very unlikely to gain credit. Finally, evaluation must compare and contrast the preceding analysis and make a judgement to answer the question to be awarded marks.
• In part (b) of essay questions, answers which examine one side of the question only will be highly unlikely to gain more than mid-Level 2 analysis and will not be awarded evaluation marks as they are unlikely to fully answer the question.
• Candidates therefore need to be fully prepared by centres to follow this approach to maximise their marks.
• Centres are further reminded that questions may be drawn from any part of the syllabus and therefore full coverage of the syllabus is essential.</t>
  </si>
  <si>
    <t xml:space="preserve">• Overall, a full range of marks was awarded and there were many high marks within the whole cohort.
• Equally, there was a significant minority of candidates who achieved very low marks despite writing long answers.
• Rubric errors were rare, and most candidates answered the correct number of questions from the correct sections of the paper.
• For most candidates, time did not appear to be a problem and most appeared to finish with enough time. However, there is still a tendency to spend too much time on the 2-mark questions, and also on detailed discussions of information that is not relevant to the question.
• Although most scripts were legible, there was still a significant minority where handwriting was indistinct. Every candidate will want their hard work to be credited but need to take more care to ensure that it can be clearly read by Examiners.</t>
  </si>
  <si>
    <t xml:space="preserve">9708/22/O/N/24</t>
  </si>
  <si>
    <t xml:space="preserve">• For Question 1, data response, one important change within the new syllabus is that 4- and 6-mark questions will contain a requirement for explained analysis and evaluation. Similarly, knowledge and understanding marks will only be awarded if they are relevant to the question and, where possible, within the context of the data itself.
• Part (a) of essay questions is now split on a 3, 3, 2 basis. AO1 gains up to 3 marks, AO2 up to 3 marks and AO3 up to 2 marks. Candidates need to organise their answers based on this split and must be encouraged to apply all knowledge and understanding to the question that is set. Furthermore, all analysis should be relevant and fully explained to gain credit. Answers that simply state facts without any explanation are very unlikely to gain credit. Finally, evaluation must compare and contrast the preceding analysis and make a judgement to answer the question to be awarded marks.
• Whilst the use of accurate graphs, formulae and concepts is strongly encouraged and is indeed a very important part of answering most questions, it is important to note that without further explanation and analysis, such a focus alone will only be credited as AO1. Analysis is underpinned by such knowledge and understanding but to move into AO2 and AO3, it requires further elaboration and explanation/application.
• In part (b) of essay questions, answers which examine one side of the question only will be highly unlikely to gain more than mid-Level 2 analysis and will not be awarded evaluation marks as they are unlikely to fully answer the question.
• Candidates therefore need to be fully prepared by centres to follow this approach to maximise their marks.
• Centres are further reminded that questions may be drawn from any part of the syllabus and therefore full coverage (including all new areas) of the syllabus is essential.</t>
  </si>
  <si>
    <t xml:space="preserve">• Overall, a full range of marks was in evidence and there was a number of high marks within the whole cohort.
• Equally, there was a significant minority of candidates who were underprepared for the examination and achieved very low marks despite, in some circumstances, writing a great deal.
• Rubric errors were rare, and most candidates answered the correct number of questions from the correct sections of the paper.
• For most candidates, time did not appear to be a problem and most appeared to finish with enough time. However, there is still a tendency to spend too much time on the 2-mark questions and also on detailed discussions within essays of information that is not relevant to the question.
• Although most scripts were legible, there was still a significant minority where handwriting was indistinct. Every candidate will want their hard work to be accredited but need to take more care in certain instances, to ensure that it can be clearly read by Examiners.</t>
  </si>
  <si>
    <t xml:space="preserve">9708/22/O/N/25</t>
  </si>
  <si>
    <t xml:space="preserve">(a) Focus on the question – Some candidates gave general answers rather than directly addressing the specific question, which limited their marks. It’s essential to tailor responses to the question’s demands. (b) Importance of evaluation – While analysis was often present, many candidates failed to provide balanced evaluation or judgment. Including evaluative comments is crucial for higher marks. (c) Use of diagrams – Candidates frequently neglected to include diagrams or drew them incorrectly. Correct and labelled diagrams help support explanations and can boost marks. (d) Conceptual understanding – Some candidates confused key economic concepts and were therefore unable to explain them fully e.g., minimum prices to boost the income of farmers or the fact that components of the current account measure values rather than quantities Solid understanding of core concepts is vital.</t>
  </si>
  <si>
    <t xml:space="preserve">This paper tested candidates’ knowledge, analysis, and evaluation skills across a wide range of economic topics. Many candidates showed understanding of core concepts, particularly fiscal policy, market failure, and shifts in supply and demand. However, some issues limited overall performance. Some candidates did not focus their answers directly on the question asked, often providing general descriptions instead of applying their knowledge to the specific context. Evaluation was limited in many responses, with few candidates developing balanced judgments. Diagrams were sometimes omitted or poorly drawn, affecting the ability to gain marks for analysis. Candidates who combined focused responses with evaluation and included diagrams generally achieved higher marks. Candidates are reminded that evaluation should not consist of summative statements nor a series of statements preceded by ‘it depends upon’ etc. Nor should it simply analyse the strengths and weaknesses of individual arguments. Evaluation is the comparison of the strengths and weaknesses of different concepts etc., leading to a conclusion that attempts to answer the question set. Answers that do this clearly will always gain high marks. Most candidates appeared to have enough time to complete the paper and most were reasonably legible. However, some scripts were barely readable. Care should be taken to ensure examiners are able to decipher all that is written.</t>
  </si>
  <si>
    <t xml:space="preserve">9708/23/M/J/22</t>
  </si>
  <si>
    <t xml:space="preserve">• Questions may be drawn from any part of the applicable syllabus, and it is essential that candidates are prepared across the whole range of the syllabus. This is particularly essential for the compulsory data response Question 1.
• Knowledge and understanding must be accurate, clear, and relevant to the question being answered. Vague knowledge and understanding will gain little or no credit.
• Application is only rewarded when the knowledge and understanding is accurate and correctly used to answer the question. Candidates should avoid unnecessary descriptions/explanations of, e.g., economic concepts and theories which may be correct but are not clearly applied to the set question.
• Analysis involves an assessment rather than a series of unexplained assertions/statements. This involves, e.g., an assessment of the strengths and weaknesses/usefulness of economic theory/ concepts and policies where relevant. Simple or unexplained assertions will receive little or no credit.
• Summative statements/paragraphs do not necessarily result in evaluation marks being awarded. Evaluation must be based on accurate analysis which is assessed to present an answer to the question. One mark is generally reserved for a justified conclusion where appropriate.
• Finally, candidates should be encouraged to spend time reading the questions and carefully noting the mark allocations. This should avoid spending unnecessary time and effort, e.g., on low mark questions and presenting accurate yet irrelevant material within the answer and instead focusing on the requirements of the question itself.</t>
  </si>
  <si>
    <t xml:space="preserve">• Marks were widespread although there were only a few who gained very high marks despite the accessibility of the paper based on previous performance.
• Those who gained low marks were seemingly unprepared and often lacked the basic knowledge and understanding to approach this paper.
• Those who did have sufficient knowledge and understanding and who could apply their knowledge to the question, were often assertive in their analysis and answered without appropriate explanation. Consequently, marks for analysis and evaluation were often low.
• However, there was a minority of candidates who were able to combine the four assessment objectives to obtain very good marks.</t>
  </si>
  <si>
    <t xml:space="preserve">9708/23/M/J/23</t>
  </si>
  <si>
    <t xml:space="preserve">• For Question 1, data response, one important change within the new syllabus is that 4- and 6-mark questions will contain a requirement for explained analysis and evaluation. Similarly, knowledge and understanding marks will only be awarded if they are relevant to the question and, where possible, within the context of the data itself.
• Part (a) of essay questions is now split on a 3,3 2 basis. AO1 gains up to 3 marks, AO2 up to 3 marks and AO3 up to 2 marks. Candidates need to organise their answers based on this split and must be encouraged to apply all knowledge and understanding to the question that is set. Furthermore, all analysis should be relevant and fully explained to gain credit. Answers that simply state facts without any explanation are very unlikely to gain credit. Finally, evaluation must compare and contrast the preceding analysis and make a judgement to answer the question to be awarded marks.
• In part (b) of essay questions, answers which examine one side of the question only will be highly unlikely to gain more than mid-Level 2 analysis and will not be awarded evaluation marks as they are unlikely to fully answer the question.
• Candidates therefore need to be fully prepared by centres to follow this approach to maximise their marks.
• Centres are further reminded that questions may be drawn from any part of the syllabus and therefore full coverage of the syllabus is essential.</t>
  </si>
  <si>
    <t xml:space="preserve">• These comments are drawn from a relatively small cohort.
• There was a large cluster of low scoring answers but there were a group of high scoring responses leading to two quite separate modal scores (high and low) depending on which centres had entered candidates.
• This suggests that the examination paper was accessible to all candidates who were well prepared.
• Candidates all appeared to have sufficient time to complete the examination and there were very few rubric errors.</t>
  </si>
  <si>
    <t xml:space="preserve">9708/23/M/J/24</t>
  </si>
  <si>
    <t xml:space="preserve">• For Question 1, data response, one important change within the new syllabus is that 4– and 6-mark questions will contain a requirement for explained analysis and evaluation. Similarly, knowledge and understanding marks will only be awarded if they are relevant to the question and, where possible, within the context of the data itself.
• Part (a) of essay questions is now split on a 3, 3 2 basis. AO1 gains up to 3 marks, AO2 up to 3 marks and AO3 up to 2 marks. Candidates need to organise their answers based on this split and must be encouraged to apply all knowledge and understanding to the question that is set. Furthermore, all analysis should be relevant and fully explained to gain credit. Answers that simply state facts without any explanation are very unlikely to gain credit. Finally, evaluation must compare and contrast the preceding analysis and make a judgement to answer the question to be awarded marks.
• Whilst the use of accurate graphs, formulae and concepts is strongly encouraged and is indeed a very important part of answering most questions, it is important to note that without further explanation and analysis, such a focus alone will only be credited as AO1. Analysis is underpinned by such knowledge and understanding but to move into AO2 and AO3, it requires further elaboration and explanation/application.
• In part (b) of essay questions, answers which examine one side of the question only will be highly unlikely to gain more than mid-Level 2 analysis and will not be awarded evaluation marks as they are unlikely to fully answer the question.
• Candidates therefore need to be fully prepared by centres to follow this approach to maximise their marks.
• Centres are further reminded that questions may be drawn from any part of the syllabus and therefore full coverage of the syllabus is essential.</t>
  </si>
  <si>
    <t xml:space="preserve">• Overall, a full range of marks was in evidence and there was a pleasing number of high marks within the whole cohort. However, across regions and centres, there was an extremely wide variation in marks with candidates from some centres barely exceeding single figures and other centres where candidates generally scored well,
• There was, therefore, a significant minority of candidates who were clearly underprepared for the examination and achieved very low marks despite, in some circumstances, writing a great deal.
• Rubric errors were pleasingly rare, and most candidates answered the correct number of questions from the correct sections of the paper.
• For most candidates, time did not appear to be a problem and most appeared to finish with enough time. However, there is still a tendency to spend too much time on the 2-mark questions and also on detailed discussions within essays of information that is not relevant to the question.
• Although most scripts were legible, there was still a significant minority where handwriting was indistinct causing a great deal of concern. Every candidate will want their hard work to be accredited but need to take more care in certain instances, to ensure that it can be clearly read by Examiners.</t>
  </si>
  <si>
    <t xml:space="preserve">9708/23/M/J/25</t>
  </si>
  <si>
    <t xml:space="preserve">• For Question 1, data response, one important change within the current syllabus is that 4– and 6–mark questions contain a requirement for explained analysis and evaluation. Similarly, knowledge and understanding marks will only be awarded if they are relevant to the question and, where possible, within the context of the data itself.
• Part (a) of essay questions is split on a 3, 3, 2 basis. AO1 gains up to 3 marks, AO2 up to 3 marks and AO3 up to 2 marks. Candidates need to organise their answers based on this split and must be encouraged to apply all knowledge and understanding to the question that is set. Furthermore, all analysis should be relevant and fully explained to gain credit. Answers that simply state facts without any explanation are very unlikely to gain credit. Finally, evaluation must compare and contrast the preceding analysis and make a judgement to answer the question to be awarded marks.
• Whilst the use of accurate graphs, formulae and concepts is strongly encouraged and is indeed a very important part of answering most questions, it is important to note that without further explanation and analysis, such a focus alone will only be credited as AO1. Analysis is underpinned by such knowledge and understanding but to move into AO2 and AO3, it requires further elaboration and explanation/application.
• In part (b) of essay questions, answers which examine one side of the question only will be highly unlikely to gain more than mid-Level 2 analysis and will not be awarded evaluation marks as they are unlikely to fully answer the question.
• Candidates therefore need to be fully prepared by centres to follow this approach to maximise their marks.
• Centres are further reminded that questions may be drawn from any part of the syllabus and therefore full coverage (including all new areas) of the syllabus is essential.</t>
  </si>
  <si>
    <t xml:space="preserve">• This paper tested candidates’ knowledge, analysis, and evaluation skills across a wide range of economic topics. Many candidates showed understanding of core concepts, particularly fiscal policy, market failure, and shifts in supply and demand. However, some issues limited overall performance.
• Some candidates did not focus their answers directly on the question asked, often providing general descriptions instead of applying their knowledge to the specific context. Evaluation was limited in many responses, with few candidates developing balanced judgments. Diagrams were sometimes omitted or poorly drawn, affecting the ability to gain marks for analysis.
• There were also misunderstandings of concepts such as the distinction between public goods and government-provided private goods, as well as the concepts of terms of trade and exchange rate influences. Candidates who combined focused responses with evaluation and included diagrams generally achieved higher marks.
• Although most scripts were legible, there was still a significant minority where handwriting was indistinct. Every candidate will want their hard work to be accredited but need to take more care in certain instances, to ensure that it can be clearly read by Examiners.</t>
  </si>
  <si>
    <t xml:space="preserve">9708/23/M/J/26</t>
  </si>
  <si>
    <t xml:space="preserve">What candidates did well:
• Comprehensive responses used accurate economic terminology and applied concepts directly to the contexts provided.
• Many candidates interpreted data effectively and used it to support explanations.
• Diagrams were generally clear, correctly labelled and linked to written analysis.
• Several responses demonstrated sound reasoning when assessing policies and explained how outcomes could vary depending on economic conditions.
• Many candidates applied their knowledge to real situations, explaining both what was occurring and why it occurred in economic terms.
What candidates needed to improve:
• Some responses repeated information from the extracts rather than applying economic analysis.
• Definitions of key terms were sometimes incomplete.
• Several diagrams did not contain labels or were not integrated into the explanation.
• Evaluation was occasionally asserted without supporting reasoning.
• Some responses would have benefited from clearer planning to maintain focus on the demands of the question.</t>
  </si>
  <si>
    <t xml:space="preserve">9708/23/O/N/21</t>
  </si>
  <si>
    <t xml:space="preserve">• There was a wide variation in marks on this paper suggesting large differences in the way in which and the extent to which candidates were prepared.
• Whilst some basic knowledge and understanding was in evidence in most scripts, there was a wide variation in how well this was applied and analysed in the context of the set questions.
• Candidates should be encouraged to read questions carefully and answer appropriately rather than using pre-prepared responses to other, differently worded questions on the same topic.
• Assertions and lists of facts/knowledge cannot be credited as application or analysis without suitable, relevant explanation.
• Answers to Question 1 (data response) must use the information accurately from the data provided. This necessitates careful reading and data handling before attempting to answer the questions.
• Definitions of key terms and concepts within essays will only receive credit in part (a) and not in part (b) which is focused on analysis and evaluation. In part (b), knowledge and understanding should be used only where relevant and to analyse the economic theories and concepts needed to answer the question. Evaluation should then directly compare the strengths and weaknesses of various arguments as appropriate to directly answer the question itself.</t>
  </si>
  <si>
    <t xml:space="preserve">The full range of marks was in evidence on this paper. Stronger candidates clearly have an excellent grasp of topics in the syllabus and can apply this knowledge and analyse it to answer both data response and essay type questions. However, there is still a significant minority who have very little appropriate knowledge and understanding or who cannot apply it to the set questions. As mentioned in previous reports, when questions require candidates to discuss or analyse, merely showing knowledge is insufficient as this must be explained and analysed in the context of the question to gain any credit. For example, in Question 3b of this paper, displaying knowledge of all aspects of cross elasticity and income elasticity of demand only received any credit when it was clearly used to analyse how the concepts would help a business in making pricing decisions. Overall, there were very few rubric infringements, and it did not appear that candidates ran out of time.</t>
  </si>
  <si>
    <t xml:space="preserve">9708/23/O/N/22</t>
  </si>
  <si>
    <t xml:space="preserve">• Questions may be drawn from any part of the applicable syllabus, and it is essential that candidates are prepared across the whole range of the syllabus. This is particularly essential for the compulsory data response Question 1.
• Knowledge and understanding must be accurate, clear, and relevant to the question being answered. Vague knowledge and understanding will gain little or no credit.
• Application is only rewarded when the knowledge and understanding is accurate and correctly used to answer the question. Candidates should avoid unnecessary descriptions/explanations of e.g., economic concepts and theories which may be correct but are not clearly applied to the set question.
• Analysis involves an assessment rather than a series of unexplained assertions/statements. This involves e.g., an assessment of the strengths and weaknesses/usefulness of economic theory/concepts and policies where relevant. Simple or unexplained assertions will receive little or no credit.
• Summative statements/paragraphs do not necessarily result in evaluation marks being awarded. Evaluation must be based on accurate analysis which is assessed to present an answer to the question. One mark is generally reserved for a justified conclusion where appropriate.
• Finally, candidates should be encouraged to spend time reading the questions and carefully noting the mark allocations. This should avoid spending unnecessary time and effort e.g., on low mark questions and presenting accurate yet irrelevant material within the answer and instead focusing on the requirements of the question itself.</t>
  </si>
  <si>
    <t xml:space="preserve">• A full range of marks was in evidence and pleasingly there were some very good marks.
• As the key messages suggest, apart from obvious errors, the main differentiation lay in whether answers were overly assertive or well explained.
• As referred to specifically in Questions 2(b) and 4(b), unless specifically requested, diagrams will not receive standalone credit. To be creditworthy, diagrams must not only be fully accurate, but both their relevance and use must also be fully explained. There is evidence that some candidates still include unexplained and occasionally irrelevant diagrams in the hope of gaining marks.
• Finally, as always, the best route to a high mark, is to fully explain points that are made, ensure that the points made are relevant and accurate and form balanced judgements that fully draw on analysis to answer the questions set as appropriate. It is always highly unlikely that any marks will be given for one sided responses for evaluation to part b of essay questions.</t>
  </si>
  <si>
    <t xml:space="preserve">9708/23/O/N/23</t>
  </si>
  <si>
    <t xml:space="preserve">• For Question 1, data response, one important change within the new syllabus is that 4- and 6-mark questions will contain a requirement for explained analysis and evaluation. Similarly, knowledge and understanding marks will only be awarded if they are relevant to the question and, where possible, within the context of the data itself.
• Part (a) of essay questions is now split on a 3, 3, 2 basis. AO1 gains up to 3 marks, AO2 up to 3 marks and AO3 up to 2 marks. Candidates need to organise their answers based on this split and must be encouraged to apply all knowledge and understanding to the question that is set. Furthermore, all analysis should be relevant and fully explained to gain credit. Answers that simply state facts without any explanation are very unlikely to gain credit. Finally, evaluation must compare and contrast the preceding analysis and make a judgement to answer the question to be awarded marks.
• In part (b) of essay questions, answers which examine one side of the question only will be highly unlikely to gain more than mid-level 2 analysis and will not be awarded evaluation marks as they are unlikely to fully answer the question.
• Candidates therefore need to be fully prepared by centres to follow this approach to maximise their marks.
• Centres are further reminded that questions may be drawn from any part of the syllabus and therefore full coverage of the syllabus is essential.</t>
  </si>
  <si>
    <t xml:space="preserve">• Overall, a full range of marks was in evidence and there was a number of high marks within the whole cohort.
• Equally, there was a significant minority of candidates who achieved very low marks despite, in some circumstances, writing long answers.
• Rubric errors were rare, and most candidates answered the correct number of questions from the correct sections of the paper.
• For most candidates, time did not appear to be a problem and most appeared to finish with enough time. However, there is still a tendency to spend too much time on the 2-mark questions and also on detailed discussions within essays of information that is not relevant to the question.
• Although most scripts were legible, there was still a significant minority where handwriting was indistinct. Every candidate will want their hard work to be credited but need to take more care in certain instances, to ensure that it can be clearly read by examiners.</t>
  </si>
  <si>
    <t xml:space="preserve">9708/23/O/N/24</t>
  </si>
  <si>
    <t xml:space="preserve">• For Question 1, data response, one important change within the new syllabus is that 4– and 6-mark questions will contain a requirement for explained analysis and evaluation. Similarly, knowledge and understanding marks will only be awarded if they are relevant to the question and, where possible, within the context of the data itself.
• Part (a) of essay questions is now split on a 3, 3, 2 basis. AO1 gains up to 3 marks, AO2 up to 3 marks and AO3 up to 2 marks. Candidates need to organise their answers based on this split and must be encouraged to apply all knowledge and understanding to the question that is set. Furthermore, all analysis should be relevant and fully explained to gain credit. Answers that simply state facts without any explanation are very unlikely to gain credit. Finally, evaluation must compare and contrast the preceding analysis and make a judgement to answer the question to be awarded marks.
• Whilst the use of accurate graphs, formulae and concepts is strongly encouraged and is indeed a very important part of answering most questions, it is important to note that without further explanation and analysis, such a focus alone will only be credited as AO1. Analysis is underpinned by such knowledge and understanding but to move into AO2 and AO3, it requires further elaboration and explanation/application.
• In part (b) of essay questions, answers which examine one side of the question only will be highly unlikely to gain more than mid-Level 2 analysis and will not be awarded evaluation marks as they are unlikely to fully answer the question.
• Candidates therefore need to be fully prepared by centres to follow this approach to maximise their marks.
• Centres are further reminded that questions may be drawn from any part of the syllabus and therefore full coverage (including all new areas) of the syllabus is essential.</t>
  </si>
  <si>
    <t xml:space="preserve">9708/23/O/N/25</t>
  </si>
  <si>
    <t xml:space="preserve">• 4- and 6-mark data response questions include a requirement for explained analysis and evaluation. For Question 1 part (c) carries 1 mark for evaluation, while parts (d) and (e) each carry 2 marks for evaluation. Knowledge and understanding marks will only be awarded if they are relevant to the question and, where possible, applied to the context of the data.
• Part (a) of essay questions is marked on a 3, 3, 2 basis: AO1 up to 3 marks, AO2 up to 3 marks, and AO3 up to 2 marks. Candidates should structure answers to reflect this split and ensure all knowledge is applied to the question set. Analysis must be relevant and fully explained to gain credit; simple statements without explanation will not score. Evaluation must always address the question directly, comparing and contrasting the preceding analysis and making a clear judgement, rather than offering general comments.
• Accurate use of graphs, formulae and concepts is strongly encouraged, but without explanation and application these will only earn AO1 marks. To achieve AO2 and AO3, candidates must elaborate and apply this knowledge within their analysis and evaluation.
• In part (b) of essay questions, answers that only examine one side of the question will not score beyond mid-Level 2 for analysis and will not earn evaluation marks, as they do not fully answer the question.
• Centres should prepare candidates to structure answers using this approach to maximise marks.
• Questions may be drawn from any part of the syllabus, including new areas, so full coverage is essential.</t>
  </si>
  <si>
    <t xml:space="preserve">• This paper tested candidates’ ability to apply economic theory, interpret data, and evaluate policy measures across a range of contexts. Many candidates demonstrated understanding of key concepts such as market equilibrium, income distribution, inflation, and aggregate demand. However, some responses lacked depth in application and evaluation, limiting overall performance.
• A number of candidates did not focus their answers directly on the question, often providing general theoretical explanations without linking them to the specific context (e.g. Nigeria’s ginger market or Malaysia’s ageing population). Evaluation was limited in many cases, with few candidates offering balanced judgments. Diagrams were sometimes omitted or poorly drawn, reducing marks for analysis.
• There were also misunderstandings of concepts such as the interpretation of the Gini coefficient, the distinction between supply-side and demand-side policies, and the implications of demographic changes on productive capacity. Candidates who combined accurate theory with contextual application, clear diagrams, and well-reasoned evaluation generally achieved higher marks.
• Although most scripts were legible, a minority were difficult to read due to unclear handwriting or poorly presented diagrams. Candidates should ensure clarity in presentation so that their work can be fully credited by examiners.</t>
  </si>
  <si>
    <t xml:space="preserve">9708/24/M/J/25</t>
  </si>
  <si>
    <t xml:space="preserve">• Candidates are reminded of the need to answer the question set rather than a preprepared answer to a previously asked question. This is necessary to avoid irrelevancy and ensure answers are fully focused on the actual question.
• Candidates are reminded of the difference between analysis and evaluation. Although both are underpinned by accurate knowledge, understanding and application, they have different purposes. Analysis will generally focus on the strengths and weaknesses of, for example different economic concepts and theories. Evaluation should not consist of summaries of preceding arguments but should be an attempt to compare the strengths and weaknesses of competing arguments to answer a question e.g., 2(b) which asks whether governments should always support the provision of merit goods. This should always lead to a justified conclusion.
• Accurate knowledge of concepts is essential. For example, in 5(a), terms of trade was often misunderstood and confused with balance of trade meaning the whole answer was incorrect. Candidates are reminded that questions may be based on any part of the syllabus, so adequate preparation is essential,
• Finally, candidates are reminded of the need to include diagrams if requested in the question and if it enhances the quality of the answer. However, diagrams must not be used if they are not explained or annotated in a manner that explains their purpose. They also must be accurately labelled, e.g., micro and macro diagrams must be used appropriately.</t>
  </si>
  <si>
    <t xml:space="preserve">9708/24/M/J/26</t>
  </si>
  <si>
    <t xml:space="preserve">What candidates did well:
• Diagrams were generally accurate and relevant to the questions that were set.
• Comprehensive answers displayed good knowledge and understanding of economic theories and concepts.
• Analysis generally considered the strengths and weaknesses of different economic arguments based on different economic situations.
• Some answers were able to reach a justified conclusion based on the preceding analysis.
What candidates needed to improve:
• Some responses repeated information from the extract or question stem rather than applying economic analysis.
• Definitions of key terms were sometimes incomplete, especially where formulae were required.
• Several diagrams lacked labels or were not integrated into the explanation.
• Evaluation was occasionally asserted without supporting reasoning.
• Some responses would have benefited from clearer planning to maintain focus on the demands of the question.</t>
  </si>
  <si>
    <t xml:space="preserve">9708/24/O/N/25</t>
  </si>
  <si>
    <t xml:space="preserve">(a) Focus on the question – Some candidates gave general answers rather than directly addressing the specific question, which limited their marks. It is essential to tailor responses to the question’s demands. (b) Importance of evaluation – While analysis was often present, many candidates failed to provide balanced evaluation or judgment. Including evaluative comments is crucial for higher marks. (c) Use of diagrams – Candidates frequently neglected to include diagrams or drew them incorrectly. Correct and labelled diagrams help support explanations and can boost marks. (d) Conceptual understanding – Some candidates confused key economic concepts for example, there remains a confusion between output, i.e. production, and productivity. Solid understanding of core concepts is vital.</t>
  </si>
  <si>
    <t xml:space="preserve">This paper tested candidates’ knowledge, analysis, and evaluation skills across a wide range of economic topics. Many candidates showed understanding of core concepts, particularly fiscal policy, market failure, and shifts in supply and demand. However, some issues limited overall performance. Some candidates did not focus their answers directly on the question asked, often providing general descriptions instead of applying their knowledge to the specific context. Evaluation was limited in many responses, with few candidates developing balanced judgments. Diagrams were sometimes omitted or poorly drawn, affecting the ability to gain marks for analysis. Candidates who combined focused responses with evaluation and included diagrams generally achieved higher marks. Candidates are reminded that evaluation should not consist of summative statements nor a series of statements preceded by ‘it depends upon’, etc. Nor should it simply analyse the strengths and weaknesses of individual arguments. Evaluation is the comparison of the strengths and weaknesses of different concepts, etc., leading to a conclusion that attempts to answer the question set. Answers that do this clearly will always gain high marks. Most candidates appeared to have enough time to complete the paper, and most were reasonably legible. However, some scripts were barely readable. Care should be taken to ensure examiners are able to decipher all that is written.</t>
  </si>
  <si>
    <t xml:space="preserve">Spot-check sample for batches 2–11 (one part per paper, data response or essay; choice fixed per paper)</t>
  </si>
  <si>
    <t xml:space="preserve">How to use: open the source PDF at the page shown, then fill the yellow cells with Correct or Fix needed. If a fix is needed, write the correction in Notes (e.g. "Primary topic should be 2.3"). Errors here tell us whether the tagging approach needs adjusting before scaling up.</t>
  </si>
  <si>
    <t xml:space="preserve">Topics</t>
  </si>
  <si>
    <t xml:space="preserve">Command</t>
  </si>
  <si>
    <t xml:space="preserve">Topics right?</t>
  </si>
  <si>
    <t xml:space="preserve">Command right?</t>
  </si>
  <si>
    <t xml:space="preserve">Mark scheme complete?</t>
  </si>
  <si>
    <t xml:space="preserve">Question text exact?</t>
  </si>
  <si>
    <t xml:space="preserve">Notes</t>
  </si>
  <si>
    <t xml:space="preserve">1.5, 1.3</t>
  </si>
  <si>
    <t xml:space="preserve">2.5, 2.2</t>
  </si>
  <si>
    <t xml:space="preserve">4.6, 5.3</t>
  </si>
  <si>
    <t xml:space="preserve">1.5, 1.1</t>
  </si>
  <si>
    <t xml:space="preserve">6.3, 2.2, 4.6</t>
  </si>
  <si>
    <t xml:space="preserve">2.4, 2.1</t>
  </si>
  <si>
    <t xml:space="preserve">2.1, 2.4</t>
  </si>
  <si>
    <t xml:space="preserve">3.1, 1.6, 3.2</t>
  </si>
  <si>
    <t xml:space="preserve">3.2, 2.4, 2.2</t>
  </si>
  <si>
    <t xml:space="preserve">5.3, 4.6</t>
  </si>
  <si>
    <t xml:space="preserve">6.2, 6.1</t>
  </si>
  <si>
    <t xml:space="preserve">6.1, 6.2</t>
  </si>
  <si>
    <t xml:space="preserve">6.1, 6.3</t>
  </si>
  <si>
    <t xml:space="preserve">6.1, 6.3, 1.1</t>
  </si>
  <si>
    <t xml:space="preserve">6.5, 5.4</t>
  </si>
  <si>
    <t xml:space="preserve">3.2, 2.2, 2.3</t>
  </si>
  <si>
    <t xml:space="preserve">3.3, 3.2, 1.6</t>
  </si>
  <si>
    <t xml:space="preserve">6.1, 1.3</t>
  </si>
  <si>
    <t xml:space="preserve">9708 AS past paper database — schema (v1) and batch log</t>
  </si>
  <si>
    <t xml:space="preserve">Unit of record</t>
  </si>
  <si>
    <t xml:space="preserve">One row per question part (e.g. 9708/21 June 2026 Q2(b)); sub-parts such as 1(a)(i) get their own row (ID ends Q1ai). Section B/C rows carry "Either 2 or 3" etc.</t>
  </si>
  <si>
    <t xml:space="preserve">ID format</t>
  </si>
  <si>
    <t xml:space="preserve">9708_&lt;series&gt;&lt;yy&gt;_&lt;variant&gt;_Q&lt;number&gt;&lt;part&gt;, e.g. 9708_s26_22_Q1a. s = May/June, w = Oct/Nov, m = Feb/March. Paper ref 9708/23/O/N/25 matches the code printed on the paper.</t>
  </si>
  <si>
    <t xml:space="preserve">Syllabus codes from the 2026–28 syllabus (AS 1.1–6.5). First code = primary focus; others = secondary. Stored as ;4.6;5.3; so filters cannot confuse 1.6 with 11.6 later.</t>
  </si>
  <si>
    <t xml:space="preserve">Finer syllabus points (e.g. 4.6.3 nominal vs real data) — useful for precise test building.</t>
  </si>
  <si>
    <t xml:space="preserve">Command words</t>
  </si>
  <si>
    <t xml:space="preserve">From the syllabus command-word list. "2nd command" is the evaluative tail of 8-mark and 4-mark questions ("...and consider").</t>
  </si>
  <si>
    <t xml:space="preserve">Evaluation marks available: 0 (2-mark), 1 (4-mark), 2 (6-mark and 8-mark), 4 (12-mark). 1-mark sub-parts have 0. Checked against all 2023–26 mark schemes: one exception, 9708/23 Oct/Nov 2023 Q1(c) (4 marks, 2 for evaluation). 2022 parts: read from each mark scheme.</t>
  </si>
  <si>
    <t xml:space="preserve">Similar question</t>
  </si>
  <si>
    <t xml:space="preserve">Pairs of question parts in different papers that share their main topic and a syllabus sub-topic, and have similar wording (text similarity ≥ 55%). Wording alone over-matches because many stems share "Assess whether … always …". See the Repeated Questions tab.</t>
  </si>
  <si>
    <t xml:space="preserve">Examiner comment</t>
  </si>
  <si>
    <t xml:space="preserve">From the Principal Examiner Report for Teachers: what candidates did well and badly on that part. Paper-level key messages are on the Examiner Key Messages tab. Only papers whose report has been uploaded have comments.</t>
  </si>
  <si>
    <t xml:space="preserve">Section A parts are flagged automatically when Cambridge has removed source material for copyright: (1) part needs a removed table/figure, (2) part quotes removed text, (3) source partly removed but part answerable from general knowledge.</t>
  </si>
  <si>
    <t xml:space="preserve">Recurring question shapes detected from wording: absolute claim (always/only/alone), compare two options, benefits vs costs, to what extent, diagram required, uses data.</t>
  </si>
  <si>
    <t xml:space="preserve">Question-specific content only. The generic level descriptors (Table A AO1/AO2, Table B AO3) are the same for every 12-mark question and are stored once, not per row.</t>
  </si>
  <si>
    <t xml:space="preserve">Master file</t>
  </si>
  <si>
    <t xml:space="preserve">9708_AS_past_papers.json is the master. This workbook is a view of it for reviewing and filtering.</t>
  </si>
  <si>
    <t xml:space="preserve">Batch log</t>
  </si>
  <si>
    <t xml:space="preserve">pilot-2026-10-08</t>
  </si>
  <si>
    <t xml:space="preserve">9708/21 May/June 2025; 9708/21 and 9708/22 May/June 2026. 39 question parts. Sample of 6 checked by James: all correct.</t>
  </si>
  <si>
    <t xml:space="preserve">batch2-2026-10-08</t>
  </si>
  <si>
    <t xml:space="preserve">9708/23 and 9708/24 May/June 2025; 9708/23 and 9708/24 Oct/Nov 2025; 9708/23 and 9708/24 May/June 2026. 78 question parts.</t>
  </si>
  <si>
    <t xml:space="preserve">batch3-2026-10-08</t>
  </si>
  <si>
    <t xml:space="preserve">9708/21 and 9708/22 Oct/Nov 2025. 27 question parts. First paper with sub-parts: 9708/22 Q1(a)(i) and (ii), 1 mark each.</t>
  </si>
  <si>
    <t xml:space="preserve">batch4-2026-10-08</t>
  </si>
  <si>
    <t xml:space="preserve">9708/22 May/June 2025; 9708/21, 22, 23 Oct/Nov 2024; 9708/22 Feb/March 2024. 66 question parts. First examiner reports (Oct/Nov 2024, Feb/March 2024): comments linked to every part of the four papers they cover.</t>
  </si>
  <si>
    <t xml:space="preserve">batch5-2026-10-08</t>
  </si>
  <si>
    <t xml:space="preserve">9708/21, 22, 23 May/June 2024 + June 2024 examiner report. 40 question parts. 9708/23 has only four data-response parts (1(b) split into (i) and (ii)).</t>
  </si>
  <si>
    <t xml:space="preserve">batch6-2026-10-08</t>
  </si>
  <si>
    <t xml:space="preserve">Examiner reports only: May/June 2025, Oct/Nov 2025, May/June 2026 (all 12 papers). Every part in the database now has an examiner comment. From June 2026 the reports list "Comprehensive responses" and "Limited responses" and have no General comments section.</t>
  </si>
  <si>
    <t xml:space="preserve">batch7-2026-10-08</t>
  </si>
  <si>
    <t xml:space="preserve">9708/22 Feb/March 2023; 9708/21, 22, 23 May/June 2023; 9708/21, 22, 23 Oct/Nov 2023. 92 question parts. 9708/23 May/June 2023 is the only paper with a 1(f): six data-response parts (four 2-mark, two 6-mark).</t>
  </si>
  <si>
    <t xml:space="preserve">batch8-2026-10-08</t>
  </si>
  <si>
    <t xml:space="preserve">Examiner reports only: Feb/March, May/June and Oct/Nov 2023 (all 7 papers). Every part in the database now has an examiner comment. The 2022 reports were parsed too and kept aside (er_2022_pending.json in the Project) until the 2022 papers are added.</t>
  </si>
  <si>
    <t xml:space="preserve">batch9-2026-10-08</t>
  </si>
  <si>
    <t xml:space="preserve">9708/22 Feb/March 2022; 9708/21, 22, 23 May/June 2022; 9708/21, 22, 23 Oct/Nov 2022 + their examiner reports. 82 question parts. 2020–22 syllabus: Section B = one essay from Q2–Q4 (no micro/macro split), so each paper stores 80 marks; mark schemes are point-based with a Guidance column, so evaluation marks were read from each mark scheme (8-mark parts have none). Topics use the current codes.</t>
  </si>
  <si>
    <t xml:space="preserve">batch10-2026-10-08</t>
  </si>
  <si>
    <t xml:space="preserve">9708/22 Feb/March 2021; 9708/21, 22, 23 May/June 2021; 9708/21, 22, 23 Oct/Nov 2021. 82 question parts, same 2020–22 syllabus rules as 2022 (80 marks per paper, evaluation marks read from each mark scheme). Examiner reports added in batch11.</t>
  </si>
  <si>
    <t xml:space="preserve">batch11-2026-10-08</t>
  </si>
  <si>
    <t xml:space="preserve">Examiner reports only: Feb/March and Oct/Nov 2021 (4 papers, 47 parts). The May/June 2021 report has not been uploaded, so 9708/21–23 May/June 2021 have no comments. Parser fix: headings like "Question 1: Compulsory Data Response" and a stray "Essays" line, which also cleaned the end of two 2022 comments (May/June and Oct/Nov 2022 9708/21 Q1(e)).</t>
  </si>
  <si>
    <t xml:space="preserve">Known issues</t>
  </si>
  <si>
    <t xml:space="preserve">Redacted source material</t>
  </si>
  <si>
    <t xml:space="preserve">Ten of 40 public question papers have part of the Section A article and/or tables removed for copyright. Exam-day originals would restore them.</t>
  </si>
  <si>
    <t xml:space="preserve">2026 9708/22 Q1(a)</t>
  </si>
  <si>
    <t xml:space="preserve">The ± symbols in the mark scheme tolerance did not extract; shown as "(.0.2)". Check the PDF.</t>
  </si>
  <si>
    <t xml:space="preserve">2026 9708/21 Q2(b) report</t>
  </si>
  <si>
    <t xml:space="preserve">The published examiner report repeats the Q2(a) "Limited responses" bullets under Q2(b); they are left out and a note says so.</t>
  </si>
  <si>
    <t xml:space="preserve">Charts without values</t>
  </si>
  <si>
    <t xml:space="preserve">9708/23 May/June 2023 Q1(a) and 9708/23 Oct/Nov 2023 Q1(b) need Fig. 1.1, a chart with no printed values. Flagged "Chart needed"; use the original paper.</t>
  </si>
  <si>
    <t xml:space="preserve">2023 mark scheme errors</t>
  </si>
  <si>
    <t xml:space="preserve">9708/23 May/June 2023: the mark scheme labels Q1(b) as 1(b)(i) (there is no (ii)); the question paper label is used. 9708/23 Oct/Nov 2023 Q1(c) gives 2 of its 4 marks for the judgement, so AO3 = 2, not the usual 1.</t>
  </si>
  <si>
    <t xml:space="preserve">2022 (old syllabus) parts</t>
  </si>
  <si>
    <t xml:space="preserve">Functions of money (9708/22 Feb/March 2022 Q1(d)(i)–(ii), 9708/22 Oct/Nov 2022 Q2(a)) is no longer AS content: flagged. Charts with no printed values: 9708/22 May/June 2022 Q1(a)(i)–(iii), 9708/23 May/June 2022 Q1(a) and Q1(b)(i), 9708/23 May/June 2021 Q1(a)(i)–(ii), 9708/23 Oct/Nov 2021 Q1(a) and Q1(b)(ii). Functions of money also in 9708/21 Oct/Nov 2021 Q1(c). 2022 mark schemes split each part into Answer and Guidance columns; Guidance is kept after the answer.</t>
  </si>
  <si>
    <t xml:space="preserve">Data-only parts</t>
  </si>
  <si>
    <t xml:space="preserve">A few 2-mark data parts (e.g. "compare the change in population") test data handling more than a syllabus topic; tagged to the nearest topic with the concept "data interpretation".</t>
  </si>
  <si>
    <t xml:space="preserve">Generic level descriptors for 12-mark essays (Paper 2, parts 2(b)–5(b))</t>
  </si>
  <si>
    <t xml:space="preserve">Table A: AO1 Knowledge and understanding and AO2 Analysis (8 marks) — Level 3: 6–8, Level 2: 3–5, Level 1: 1–2, 0: no creditable response.</t>
  </si>
  <si>
    <t xml:space="preserve">Table B: AO3 Evaluation (4 marks) — Level 2: 3–4 (justified conclusion, developed evaluation), Level 1: 1–2 (vague conclusion, simple evaluative comment), 0: no creditable response.</t>
  </si>
  <si>
    <t xml:space="preserve">Full wording: see any 9708/2x mark scheme (generic marking pages before the questions).</t>
  </si>
</sst>
</file>

<file path=xl/styles.xml><?xml version="1.0" encoding="utf-8"?>
<styleSheet xmlns="http://schemas.openxmlformats.org/spreadsheetml/2006/main">
  <numFmts count="3">
    <numFmt numFmtId="164" formatCode="General"/>
    <numFmt numFmtId="165" formatCode="General"/>
    <numFmt numFmtId="166" formatCode="0%"/>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4"/>
      <color rgb="FF1F3864"/>
      <name val="Arial"/>
      <family val="0"/>
      <charset val="1"/>
    </font>
    <font>
      <i val="true"/>
      <sz val="9"/>
      <name val="Arial"/>
      <family val="0"/>
      <charset val="1"/>
    </font>
    <font>
      <b val="true"/>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CE4D6"/>
        <bgColor rgb="FFFFF2CC"/>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5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7"/>
    <col collapsed="false" customWidth="true" hidden="false" outlineLevel="0" max="4" min="3" style="0" width="9"/>
    <col collapsed="false" customWidth="true" hidden="false" outlineLevel="0" max="5" min="5" style="0" width="8"/>
    <col collapsed="false" customWidth="true" hidden="false" outlineLevel="0" max="7" min="6" style="0" width="5"/>
    <col collapsed="false" customWidth="true" hidden="false" outlineLevel="0" max="8" min="8" style="0" width="13"/>
    <col collapsed="false" customWidth="true" hidden="false" outlineLevel="0" max="10" min="9" style="0" width="7"/>
    <col collapsed="false" customWidth="true" hidden="false" outlineLevel="0" max="11" min="11" style="0" width="11"/>
    <col collapsed="false" customWidth="true" hidden="false" outlineLevel="0" max="12" min="12" style="0" width="10"/>
    <col collapsed="false" customWidth="true" hidden="false" outlineLevel="0" max="13" min="13" style="0" width="8"/>
    <col collapsed="false" customWidth="true" hidden="false" outlineLevel="0" max="14" min="14" style="0" width="6"/>
    <col collapsed="false" customWidth="true" hidden="false" outlineLevel="0" max="15" min="15" style="0" width="24"/>
    <col collapsed="false" customWidth="true" hidden="false" outlineLevel="0" max="16" min="16" style="0" width="9"/>
    <col collapsed="false" customWidth="true" hidden="false" outlineLevel="0" max="17" min="17" style="0" width="26"/>
    <col collapsed="false" customWidth="true" hidden="false" outlineLevel="0" max="18" min="18" style="0" width="16"/>
    <col collapsed="false" customWidth="true" hidden="false" outlineLevel="0" max="19" min="19" style="0" width="18"/>
    <col collapsed="false" customWidth="true" hidden="false" outlineLevel="0" max="20" min="20" style="0" width="32"/>
    <col collapsed="false" customWidth="true" hidden="false" outlineLevel="0" max="21" min="21" style="0" width="26"/>
    <col collapsed="false" customWidth="true" hidden="false" outlineLevel="0" max="22" min="22" style="0" width="60"/>
    <col collapsed="false" customWidth="true" hidden="false" outlineLevel="0" max="23" min="23" style="0" width="70"/>
    <col collapsed="false" customWidth="true" hidden="false" outlineLevel="0" max="25" min="24" style="0" width="7"/>
    <col collapsed="false" customWidth="true" hidden="false" outlineLevel="0" max="26" min="26" style="0" width="12"/>
    <col collapsed="false" customWidth="true" hidden="false" outlineLevel="0" max="27" min="27" style="0" width="40"/>
    <col collapsed="false" customWidth="true" hidden="false" outlineLevel="0" max="28" min="28" style="0" width="10"/>
    <col collapsed="false" customWidth="true" hidden="false" outlineLevel="0" max="29" min="29" style="0" width="30"/>
    <col collapsed="false" customWidth="true" hidden="false" outlineLevel="0" max="30" min="30" style="0" width="34"/>
    <col collapsed="false" customWidth="true" hidden="false" outlineLevel="0" max="31" min="31" style="0" width="7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ustomFormat="false" ht="60" hidden="false" customHeight="true" outlineLevel="0" collapsed="false">
      <c r="A2" s="2" t="s">
        <v>31</v>
      </c>
      <c r="B2" s="2" t="n">
        <v>2021</v>
      </c>
      <c r="C2" s="2" t="s">
        <v>32</v>
      </c>
      <c r="D2" s="2" t="s">
        <v>33</v>
      </c>
      <c r="E2" s="2" t="s">
        <v>34</v>
      </c>
      <c r="F2" s="2" t="n">
        <v>1</v>
      </c>
      <c r="G2" s="2" t="s">
        <v>35</v>
      </c>
      <c r="H2" s="2"/>
      <c r="I2" s="2" t="n">
        <v>1</v>
      </c>
      <c r="J2" s="2" t="n">
        <v>0</v>
      </c>
      <c r="K2" s="2" t="s">
        <v>36</v>
      </c>
      <c r="L2" s="2"/>
      <c r="M2" s="2"/>
      <c r="N2" s="2" t="s">
        <v>37</v>
      </c>
      <c r="O2" s="3" t="s">
        <v>38</v>
      </c>
      <c r="P2" s="2" t="s">
        <v>39</v>
      </c>
      <c r="Q2" s="2" t="s">
        <v>40</v>
      </c>
      <c r="R2" s="2" t="s">
        <v>41</v>
      </c>
      <c r="S2" s="2" t="s">
        <v>42</v>
      </c>
      <c r="T2" s="3" t="s">
        <v>43</v>
      </c>
      <c r="U2" s="3" t="s">
        <v>44</v>
      </c>
      <c r="V2" s="3" t="s">
        <v>45</v>
      </c>
      <c r="W2" s="2" t="s">
        <v>46</v>
      </c>
      <c r="X2" s="2" t="n">
        <v>8</v>
      </c>
      <c r="Y2" s="2" t="n">
        <v>3</v>
      </c>
      <c r="Z2" s="2" t="s">
        <v>47</v>
      </c>
      <c r="AA2" s="4" t="s">
        <v>48</v>
      </c>
      <c r="AB2" s="5"/>
      <c r="AC2" s="5"/>
      <c r="AD2" s="3" t="s">
        <v>49</v>
      </c>
      <c r="AE2" s="3" t="s">
        <v>50</v>
      </c>
    </row>
    <row r="3" customFormat="false" ht="60" hidden="false" customHeight="true" outlineLevel="0" collapsed="false">
      <c r="A3" s="2" t="s">
        <v>51</v>
      </c>
      <c r="B3" s="2" t="n">
        <v>2021</v>
      </c>
      <c r="C3" s="2" t="s">
        <v>32</v>
      </c>
      <c r="D3" s="2" t="s">
        <v>33</v>
      </c>
      <c r="E3" s="2" t="s">
        <v>34</v>
      </c>
      <c r="F3" s="2" t="n">
        <v>1</v>
      </c>
      <c r="G3" s="2" t="s">
        <v>52</v>
      </c>
      <c r="H3" s="2"/>
      <c r="I3" s="2" t="n">
        <v>1</v>
      </c>
      <c r="J3" s="2" t="n">
        <v>0</v>
      </c>
      <c r="K3" s="2" t="s">
        <v>53</v>
      </c>
      <c r="L3" s="2"/>
      <c r="M3" s="2"/>
      <c r="N3" s="2"/>
      <c r="O3" s="3"/>
      <c r="P3" s="2" t="s">
        <v>54</v>
      </c>
      <c r="Q3" s="2" t="s">
        <v>55</v>
      </c>
      <c r="R3" s="2" t="s">
        <v>56</v>
      </c>
      <c r="S3" s="2" t="s">
        <v>57</v>
      </c>
      <c r="T3" s="3" t="s">
        <v>58</v>
      </c>
      <c r="U3" s="3" t="s">
        <v>44</v>
      </c>
      <c r="V3" s="3" t="s">
        <v>59</v>
      </c>
      <c r="W3" s="2" t="s">
        <v>60</v>
      </c>
      <c r="X3" s="2" t="n">
        <v>8</v>
      </c>
      <c r="Y3" s="2" t="n">
        <v>3</v>
      </c>
      <c r="Z3" s="2" t="s">
        <v>47</v>
      </c>
      <c r="AA3" s="4" t="s">
        <v>48</v>
      </c>
      <c r="AB3" s="5"/>
      <c r="AC3" s="5"/>
      <c r="AD3" s="3"/>
      <c r="AE3" s="3" t="s">
        <v>61</v>
      </c>
    </row>
    <row r="4" customFormat="false" ht="60" hidden="false" customHeight="true" outlineLevel="0" collapsed="false">
      <c r="A4" s="2" t="s">
        <v>62</v>
      </c>
      <c r="B4" s="2" t="n">
        <v>2021</v>
      </c>
      <c r="C4" s="2" t="s">
        <v>32</v>
      </c>
      <c r="D4" s="2" t="s">
        <v>33</v>
      </c>
      <c r="E4" s="2" t="s">
        <v>34</v>
      </c>
      <c r="F4" s="2" t="n">
        <v>1</v>
      </c>
      <c r="G4" s="2" t="s">
        <v>63</v>
      </c>
      <c r="H4" s="2"/>
      <c r="I4" s="2" t="n">
        <v>2</v>
      </c>
      <c r="J4" s="2" t="n">
        <v>0</v>
      </c>
      <c r="K4" s="2" t="s">
        <v>64</v>
      </c>
      <c r="L4" s="2"/>
      <c r="M4" s="2"/>
      <c r="N4" s="2"/>
      <c r="O4" s="3"/>
      <c r="P4" s="2" t="s">
        <v>39</v>
      </c>
      <c r="Q4" s="2" t="s">
        <v>40</v>
      </c>
      <c r="R4" s="2" t="s">
        <v>41</v>
      </c>
      <c r="S4" s="2" t="s">
        <v>65</v>
      </c>
      <c r="T4" s="3" t="s">
        <v>66</v>
      </c>
      <c r="U4" s="3" t="s">
        <v>44</v>
      </c>
      <c r="V4" s="3" t="s">
        <v>67</v>
      </c>
      <c r="W4" s="3" t="s">
        <v>68</v>
      </c>
      <c r="X4" s="2" t="n">
        <v>8</v>
      </c>
      <c r="Y4" s="2" t="n">
        <v>3</v>
      </c>
      <c r="Z4" s="2" t="s">
        <v>47</v>
      </c>
      <c r="AA4" s="4" t="s">
        <v>69</v>
      </c>
      <c r="AB4" s="5"/>
      <c r="AC4" s="5"/>
      <c r="AD4" s="3"/>
      <c r="AE4" s="3" t="s">
        <v>70</v>
      </c>
    </row>
    <row r="5" customFormat="false" ht="60" hidden="false" customHeight="true" outlineLevel="0" collapsed="false">
      <c r="A5" s="2" t="s">
        <v>71</v>
      </c>
      <c r="B5" s="2" t="n">
        <v>2021</v>
      </c>
      <c r="C5" s="2" t="s">
        <v>32</v>
      </c>
      <c r="D5" s="2" t="s">
        <v>33</v>
      </c>
      <c r="E5" s="2" t="s">
        <v>34</v>
      </c>
      <c r="F5" s="2" t="n">
        <v>1</v>
      </c>
      <c r="G5" s="2" t="s">
        <v>72</v>
      </c>
      <c r="H5" s="2"/>
      <c r="I5" s="2" t="n">
        <v>4</v>
      </c>
      <c r="J5" s="2" t="n">
        <v>0</v>
      </c>
      <c r="K5" s="2" t="s">
        <v>64</v>
      </c>
      <c r="L5" s="2"/>
      <c r="M5" s="2" t="s">
        <v>37</v>
      </c>
      <c r="N5" s="2"/>
      <c r="O5" s="3" t="s">
        <v>73</v>
      </c>
      <c r="P5" s="2" t="s">
        <v>74</v>
      </c>
      <c r="Q5" s="2" t="s">
        <v>75</v>
      </c>
      <c r="R5" s="2" t="s">
        <v>76</v>
      </c>
      <c r="S5" s="2" t="s">
        <v>77</v>
      </c>
      <c r="T5" s="3" t="s">
        <v>78</v>
      </c>
      <c r="U5" s="3" t="s">
        <v>44</v>
      </c>
      <c r="V5" s="3" t="s">
        <v>79</v>
      </c>
      <c r="W5" s="3" t="s">
        <v>80</v>
      </c>
      <c r="X5" s="2" t="n">
        <v>9</v>
      </c>
      <c r="Y5" s="2" t="n">
        <v>3</v>
      </c>
      <c r="Z5" s="2" t="s">
        <v>47</v>
      </c>
      <c r="AA5" s="4" t="s">
        <v>81</v>
      </c>
      <c r="AB5" s="5"/>
      <c r="AC5" s="5"/>
      <c r="AD5" s="3"/>
      <c r="AE5" s="3" t="s">
        <v>82</v>
      </c>
    </row>
    <row r="6" customFormat="false" ht="60" hidden="false" customHeight="true" outlineLevel="0" collapsed="false">
      <c r="A6" s="2" t="s">
        <v>83</v>
      </c>
      <c r="B6" s="2" t="n">
        <v>2021</v>
      </c>
      <c r="C6" s="2" t="s">
        <v>32</v>
      </c>
      <c r="D6" s="2" t="s">
        <v>33</v>
      </c>
      <c r="E6" s="2" t="s">
        <v>34</v>
      </c>
      <c r="F6" s="2" t="n">
        <v>1</v>
      </c>
      <c r="G6" s="2" t="s">
        <v>84</v>
      </c>
      <c r="H6" s="2"/>
      <c r="I6" s="2" t="n">
        <v>6</v>
      </c>
      <c r="J6" s="2" t="n">
        <v>2</v>
      </c>
      <c r="K6" s="2" t="s">
        <v>85</v>
      </c>
      <c r="L6" s="2" t="s">
        <v>86</v>
      </c>
      <c r="M6" s="2"/>
      <c r="N6" s="2"/>
      <c r="O6" s="3"/>
      <c r="P6" s="2" t="s">
        <v>87</v>
      </c>
      <c r="Q6" s="2" t="s">
        <v>88</v>
      </c>
      <c r="R6" s="2" t="s">
        <v>89</v>
      </c>
      <c r="S6" s="2" t="s">
        <v>90</v>
      </c>
      <c r="T6" s="3" t="s">
        <v>91</v>
      </c>
      <c r="U6" s="3" t="s">
        <v>44</v>
      </c>
      <c r="V6" s="3" t="s">
        <v>92</v>
      </c>
      <c r="W6" s="3" t="s">
        <v>93</v>
      </c>
      <c r="X6" s="2" t="n">
        <v>10</v>
      </c>
      <c r="Y6" s="2" t="n">
        <v>3</v>
      </c>
      <c r="Z6" s="2" t="s">
        <v>47</v>
      </c>
      <c r="AA6" s="4" t="s">
        <v>69</v>
      </c>
      <c r="AB6" s="5"/>
      <c r="AC6" s="5"/>
      <c r="AD6" s="3"/>
      <c r="AE6" s="3" t="s">
        <v>94</v>
      </c>
    </row>
    <row r="7" customFormat="false" ht="60" hidden="false" customHeight="true" outlineLevel="0" collapsed="false">
      <c r="A7" s="2" t="s">
        <v>95</v>
      </c>
      <c r="B7" s="2" t="n">
        <v>2021</v>
      </c>
      <c r="C7" s="2" t="s">
        <v>32</v>
      </c>
      <c r="D7" s="2" t="s">
        <v>33</v>
      </c>
      <c r="E7" s="2" t="s">
        <v>34</v>
      </c>
      <c r="F7" s="2" t="n">
        <v>1</v>
      </c>
      <c r="G7" s="2" t="s">
        <v>96</v>
      </c>
      <c r="H7" s="2"/>
      <c r="I7" s="2" t="n">
        <v>6</v>
      </c>
      <c r="J7" s="2" t="n">
        <v>2</v>
      </c>
      <c r="K7" s="2" t="s">
        <v>85</v>
      </c>
      <c r="L7" s="2"/>
      <c r="M7" s="2"/>
      <c r="N7" s="2"/>
      <c r="O7" s="3"/>
      <c r="P7" s="2" t="s">
        <v>54</v>
      </c>
      <c r="Q7" s="2" t="s">
        <v>55</v>
      </c>
      <c r="R7" s="2" t="s">
        <v>97</v>
      </c>
      <c r="S7" s="2" t="s">
        <v>98</v>
      </c>
      <c r="T7" s="3" t="s">
        <v>99</v>
      </c>
      <c r="U7" s="3" t="s">
        <v>44</v>
      </c>
      <c r="V7" s="3" t="s">
        <v>100</v>
      </c>
      <c r="W7" s="3" t="s">
        <v>101</v>
      </c>
      <c r="X7" s="2" t="n">
        <v>10</v>
      </c>
      <c r="Y7" s="2" t="n">
        <v>3</v>
      </c>
      <c r="Z7" s="2" t="s">
        <v>47</v>
      </c>
      <c r="AA7" s="4" t="s">
        <v>69</v>
      </c>
      <c r="AB7" s="5"/>
      <c r="AC7" s="5"/>
      <c r="AD7" s="3"/>
      <c r="AE7" s="3" t="s">
        <v>102</v>
      </c>
    </row>
    <row r="8" customFormat="false" ht="60" hidden="false" customHeight="true" outlineLevel="0" collapsed="false">
      <c r="A8" s="2" t="s">
        <v>103</v>
      </c>
      <c r="B8" s="2" t="n">
        <v>2021</v>
      </c>
      <c r="C8" s="2" t="s">
        <v>32</v>
      </c>
      <c r="D8" s="2" t="s">
        <v>33</v>
      </c>
      <c r="E8" s="2" t="s">
        <v>104</v>
      </c>
      <c r="F8" s="2" t="n">
        <v>2</v>
      </c>
      <c r="G8" s="2" t="s">
        <v>35</v>
      </c>
      <c r="H8" s="2" t="s">
        <v>105</v>
      </c>
      <c r="I8" s="2" t="n">
        <v>8</v>
      </c>
      <c r="J8" s="2" t="n">
        <v>0</v>
      </c>
      <c r="K8" s="2" t="s">
        <v>64</v>
      </c>
      <c r="L8" s="2"/>
      <c r="M8" s="2" t="s">
        <v>37</v>
      </c>
      <c r="N8" s="2"/>
      <c r="O8" s="3" t="s">
        <v>73</v>
      </c>
      <c r="P8" s="2" t="s">
        <v>106</v>
      </c>
      <c r="Q8" s="2" t="s">
        <v>107</v>
      </c>
      <c r="R8" s="2" t="s">
        <v>108</v>
      </c>
      <c r="S8" s="2" t="s">
        <v>109</v>
      </c>
      <c r="T8" s="3" t="s">
        <v>110</v>
      </c>
      <c r="U8" s="3"/>
      <c r="V8" s="3" t="s">
        <v>111</v>
      </c>
      <c r="W8" s="3" t="s">
        <v>112</v>
      </c>
      <c r="X8" s="2" t="n">
        <v>11</v>
      </c>
      <c r="Y8" s="2" t="n">
        <v>4</v>
      </c>
      <c r="Z8" s="2" t="s">
        <v>47</v>
      </c>
      <c r="AA8" s="3"/>
      <c r="AB8" s="5"/>
      <c r="AC8" s="5"/>
      <c r="AD8" s="3"/>
      <c r="AE8" s="3" t="s">
        <v>113</v>
      </c>
    </row>
    <row r="9" customFormat="false" ht="60" hidden="false" customHeight="true" outlineLevel="0" collapsed="false">
      <c r="A9" s="2" t="s">
        <v>114</v>
      </c>
      <c r="B9" s="2" t="n">
        <v>2021</v>
      </c>
      <c r="C9" s="2" t="s">
        <v>32</v>
      </c>
      <c r="D9" s="2" t="s">
        <v>33</v>
      </c>
      <c r="E9" s="2" t="s">
        <v>104</v>
      </c>
      <c r="F9" s="2" t="n">
        <v>2</v>
      </c>
      <c r="G9" s="2" t="s">
        <v>52</v>
      </c>
      <c r="H9" s="2" t="s">
        <v>105</v>
      </c>
      <c r="I9" s="2" t="n">
        <v>12</v>
      </c>
      <c r="J9" s="2" t="n">
        <v>4</v>
      </c>
      <c r="K9" s="2" t="s">
        <v>85</v>
      </c>
      <c r="L9" s="2"/>
      <c r="M9" s="2"/>
      <c r="N9" s="2"/>
      <c r="O9" s="3"/>
      <c r="P9" s="2" t="s">
        <v>115</v>
      </c>
      <c r="Q9" s="2" t="s">
        <v>116</v>
      </c>
      <c r="R9" s="2" t="s">
        <v>117</v>
      </c>
      <c r="S9" s="2" t="s">
        <v>118</v>
      </c>
      <c r="T9" s="3" t="s">
        <v>119</v>
      </c>
      <c r="U9" s="3"/>
      <c r="V9" s="3" t="s">
        <v>120</v>
      </c>
      <c r="W9" s="3" t="s">
        <v>121</v>
      </c>
      <c r="X9" s="2" t="n">
        <v>12</v>
      </c>
      <c r="Y9" s="2" t="n">
        <v>4</v>
      </c>
      <c r="Z9" s="2" t="s">
        <v>47</v>
      </c>
      <c r="AA9" s="3"/>
      <c r="AB9" s="5"/>
      <c r="AC9" s="5"/>
      <c r="AD9" s="3"/>
      <c r="AE9" s="3" t="s">
        <v>122</v>
      </c>
    </row>
    <row r="10" customFormat="false" ht="60" hidden="false" customHeight="true" outlineLevel="0" collapsed="false">
      <c r="A10" s="2" t="s">
        <v>123</v>
      </c>
      <c r="B10" s="2" t="n">
        <v>2021</v>
      </c>
      <c r="C10" s="2" t="s">
        <v>32</v>
      </c>
      <c r="D10" s="2" t="s">
        <v>33</v>
      </c>
      <c r="E10" s="2" t="s">
        <v>104</v>
      </c>
      <c r="F10" s="2" t="n">
        <v>3</v>
      </c>
      <c r="G10" s="2" t="s">
        <v>35</v>
      </c>
      <c r="H10" s="2" t="s">
        <v>105</v>
      </c>
      <c r="I10" s="2" t="n">
        <v>8</v>
      </c>
      <c r="J10" s="2" t="n">
        <v>0</v>
      </c>
      <c r="K10" s="2" t="s">
        <v>64</v>
      </c>
      <c r="L10" s="2"/>
      <c r="M10" s="2"/>
      <c r="N10" s="2"/>
      <c r="O10" s="3"/>
      <c r="P10" s="2" t="s">
        <v>124</v>
      </c>
      <c r="Q10" s="2" t="s">
        <v>125</v>
      </c>
      <c r="R10" s="2" t="s">
        <v>126</v>
      </c>
      <c r="S10" s="2" t="s">
        <v>127</v>
      </c>
      <c r="T10" s="3" t="s">
        <v>128</v>
      </c>
      <c r="U10" s="3"/>
      <c r="V10" s="3" t="s">
        <v>129</v>
      </c>
      <c r="W10" s="3" t="s">
        <v>130</v>
      </c>
      <c r="X10" s="2" t="n">
        <v>13</v>
      </c>
      <c r="Y10" s="2" t="n">
        <v>4</v>
      </c>
      <c r="Z10" s="2" t="s">
        <v>47</v>
      </c>
      <c r="AA10" s="3"/>
      <c r="AB10" s="5"/>
      <c r="AC10" s="5"/>
      <c r="AD10" s="3"/>
      <c r="AE10" s="3" t="s">
        <v>131</v>
      </c>
    </row>
    <row r="11" customFormat="false" ht="60" hidden="false" customHeight="true" outlineLevel="0" collapsed="false">
      <c r="A11" s="2" t="s">
        <v>132</v>
      </c>
      <c r="B11" s="2" t="n">
        <v>2021</v>
      </c>
      <c r="C11" s="2" t="s">
        <v>32</v>
      </c>
      <c r="D11" s="2" t="s">
        <v>33</v>
      </c>
      <c r="E11" s="2" t="s">
        <v>104</v>
      </c>
      <c r="F11" s="2" t="n">
        <v>3</v>
      </c>
      <c r="G11" s="2" t="s">
        <v>52</v>
      </c>
      <c r="H11" s="2" t="s">
        <v>105</v>
      </c>
      <c r="I11" s="2" t="n">
        <v>12</v>
      </c>
      <c r="J11" s="2" t="n">
        <v>4</v>
      </c>
      <c r="K11" s="2" t="s">
        <v>85</v>
      </c>
      <c r="L11" s="2"/>
      <c r="M11" s="2"/>
      <c r="N11" s="2"/>
      <c r="O11" s="3"/>
      <c r="P11" s="2" t="s">
        <v>133</v>
      </c>
      <c r="Q11" s="2" t="s">
        <v>134</v>
      </c>
      <c r="R11" s="2" t="s">
        <v>135</v>
      </c>
      <c r="S11" s="2" t="s">
        <v>136</v>
      </c>
      <c r="T11" s="3" t="s">
        <v>137</v>
      </c>
      <c r="U11" s="3"/>
      <c r="V11" s="3" t="s">
        <v>138</v>
      </c>
      <c r="W11" s="3" t="s">
        <v>139</v>
      </c>
      <c r="X11" s="2" t="n">
        <v>14</v>
      </c>
      <c r="Y11" s="2" t="n">
        <v>4</v>
      </c>
      <c r="Z11" s="2" t="s">
        <v>47</v>
      </c>
      <c r="AA11" s="3"/>
      <c r="AB11" s="5"/>
      <c r="AC11" s="5"/>
      <c r="AD11" s="3"/>
      <c r="AE11" s="3" t="s">
        <v>140</v>
      </c>
    </row>
    <row r="12" customFormat="false" ht="60" hidden="false" customHeight="true" outlineLevel="0" collapsed="false">
      <c r="A12" s="2" t="s">
        <v>141</v>
      </c>
      <c r="B12" s="2" t="n">
        <v>2021</v>
      </c>
      <c r="C12" s="2" t="s">
        <v>32</v>
      </c>
      <c r="D12" s="2" t="s">
        <v>33</v>
      </c>
      <c r="E12" s="2" t="s">
        <v>104</v>
      </c>
      <c r="F12" s="2" t="n">
        <v>4</v>
      </c>
      <c r="G12" s="2" t="s">
        <v>35</v>
      </c>
      <c r="H12" s="2" t="s">
        <v>105</v>
      </c>
      <c r="I12" s="2" t="n">
        <v>8</v>
      </c>
      <c r="J12" s="2" t="n">
        <v>0</v>
      </c>
      <c r="K12" s="2" t="s">
        <v>64</v>
      </c>
      <c r="L12" s="2"/>
      <c r="M12" s="2"/>
      <c r="N12" s="2"/>
      <c r="O12" s="3"/>
      <c r="P12" s="2" t="s">
        <v>142</v>
      </c>
      <c r="Q12" s="2" t="s">
        <v>143</v>
      </c>
      <c r="R12" s="2" t="s">
        <v>144</v>
      </c>
      <c r="S12" s="2" t="s">
        <v>145</v>
      </c>
      <c r="T12" s="3" t="s">
        <v>146</v>
      </c>
      <c r="U12" s="3"/>
      <c r="V12" s="3" t="s">
        <v>147</v>
      </c>
      <c r="W12" s="3" t="s">
        <v>148</v>
      </c>
      <c r="X12" s="2" t="n">
        <v>15</v>
      </c>
      <c r="Y12" s="2" t="n">
        <v>4</v>
      </c>
      <c r="Z12" s="2" t="s">
        <v>47</v>
      </c>
      <c r="AA12" s="3"/>
      <c r="AB12" s="5"/>
      <c r="AC12" s="5"/>
      <c r="AD12" s="3"/>
      <c r="AE12" s="3" t="s">
        <v>149</v>
      </c>
    </row>
    <row r="13" customFormat="false" ht="60" hidden="false" customHeight="true" outlineLevel="0" collapsed="false">
      <c r="A13" s="2" t="s">
        <v>150</v>
      </c>
      <c r="B13" s="2" t="n">
        <v>2021</v>
      </c>
      <c r="C13" s="2" t="s">
        <v>32</v>
      </c>
      <c r="D13" s="2" t="s">
        <v>33</v>
      </c>
      <c r="E13" s="2" t="s">
        <v>104</v>
      </c>
      <c r="F13" s="2" t="n">
        <v>4</v>
      </c>
      <c r="G13" s="2" t="s">
        <v>52</v>
      </c>
      <c r="H13" s="2" t="s">
        <v>105</v>
      </c>
      <c r="I13" s="2" t="n">
        <v>12</v>
      </c>
      <c r="J13" s="2" t="n">
        <v>4</v>
      </c>
      <c r="K13" s="2" t="s">
        <v>85</v>
      </c>
      <c r="L13" s="2"/>
      <c r="M13" s="2"/>
      <c r="N13" s="2"/>
      <c r="O13" s="3"/>
      <c r="P13" s="2" t="s">
        <v>151</v>
      </c>
      <c r="Q13" s="2" t="s">
        <v>152</v>
      </c>
      <c r="R13" s="2" t="s">
        <v>153</v>
      </c>
      <c r="S13" s="2" t="s">
        <v>154</v>
      </c>
      <c r="T13" s="3" t="s">
        <v>155</v>
      </c>
      <c r="U13" s="3"/>
      <c r="V13" s="3" t="s">
        <v>156</v>
      </c>
      <c r="W13" s="3" t="s">
        <v>157</v>
      </c>
      <c r="X13" s="2" t="n">
        <v>16</v>
      </c>
      <c r="Y13" s="2" t="n">
        <v>4</v>
      </c>
      <c r="Z13" s="2" t="s">
        <v>47</v>
      </c>
      <c r="AA13" s="3"/>
      <c r="AB13" s="5"/>
      <c r="AC13" s="5"/>
      <c r="AD13" s="3"/>
      <c r="AE13" s="3" t="s">
        <v>158</v>
      </c>
    </row>
    <row r="14" customFormat="false" ht="60" hidden="false" customHeight="true" outlineLevel="0" collapsed="false">
      <c r="A14" s="2" t="s">
        <v>159</v>
      </c>
      <c r="B14" s="2" t="n">
        <v>2021</v>
      </c>
      <c r="C14" s="2" t="s">
        <v>160</v>
      </c>
      <c r="D14" s="2" t="s">
        <v>161</v>
      </c>
      <c r="E14" s="2" t="s">
        <v>34</v>
      </c>
      <c r="F14" s="2" t="n">
        <v>1</v>
      </c>
      <c r="G14" s="2" t="s">
        <v>162</v>
      </c>
      <c r="H14" s="2"/>
      <c r="I14" s="2" t="n">
        <v>1</v>
      </c>
      <c r="J14" s="2" t="n">
        <v>0</v>
      </c>
      <c r="K14" s="2" t="s">
        <v>163</v>
      </c>
      <c r="L14" s="2"/>
      <c r="M14" s="2"/>
      <c r="N14" s="2"/>
      <c r="O14" s="3"/>
      <c r="P14" s="2" t="s">
        <v>164</v>
      </c>
      <c r="Q14" s="2" t="s">
        <v>165</v>
      </c>
      <c r="R14" s="2" t="s">
        <v>166</v>
      </c>
      <c r="S14" s="2" t="s">
        <v>167</v>
      </c>
      <c r="T14" s="3" t="s">
        <v>168</v>
      </c>
      <c r="U14" s="3" t="s">
        <v>169</v>
      </c>
      <c r="V14" s="3" t="s">
        <v>170</v>
      </c>
      <c r="W14" s="2" t="s">
        <v>171</v>
      </c>
      <c r="X14" s="2" t="n">
        <v>6</v>
      </c>
      <c r="Y14" s="2" t="n">
        <v>3</v>
      </c>
      <c r="Z14" s="2" t="s">
        <v>47</v>
      </c>
      <c r="AA14" s="3"/>
      <c r="AB14" s="5"/>
      <c r="AC14" s="5"/>
      <c r="AD14" s="3" t="s">
        <v>172</v>
      </c>
      <c r="AE14" s="3"/>
    </row>
    <row r="15" customFormat="false" ht="60" hidden="false" customHeight="true" outlineLevel="0" collapsed="false">
      <c r="A15" s="2" t="s">
        <v>173</v>
      </c>
      <c r="B15" s="2" t="n">
        <v>2021</v>
      </c>
      <c r="C15" s="2" t="s">
        <v>160</v>
      </c>
      <c r="D15" s="2" t="s">
        <v>161</v>
      </c>
      <c r="E15" s="2" t="s">
        <v>34</v>
      </c>
      <c r="F15" s="2" t="n">
        <v>1</v>
      </c>
      <c r="G15" s="2" t="s">
        <v>174</v>
      </c>
      <c r="H15" s="2"/>
      <c r="I15" s="2" t="n">
        <v>1</v>
      </c>
      <c r="J15" s="2" t="n">
        <v>0</v>
      </c>
      <c r="K15" s="2" t="s">
        <v>36</v>
      </c>
      <c r="L15" s="2"/>
      <c r="M15" s="2"/>
      <c r="N15" s="2" t="s">
        <v>37</v>
      </c>
      <c r="O15" s="3" t="s">
        <v>38</v>
      </c>
      <c r="P15" s="2" t="s">
        <v>164</v>
      </c>
      <c r="Q15" s="2" t="s">
        <v>165</v>
      </c>
      <c r="R15" s="2" t="s">
        <v>166</v>
      </c>
      <c r="S15" s="2" t="s">
        <v>167</v>
      </c>
      <c r="T15" s="3" t="s">
        <v>175</v>
      </c>
      <c r="U15" s="3" t="s">
        <v>169</v>
      </c>
      <c r="V15" s="3" t="s">
        <v>176</v>
      </c>
      <c r="W15" s="3" t="s">
        <v>177</v>
      </c>
      <c r="X15" s="2" t="n">
        <v>6</v>
      </c>
      <c r="Y15" s="2" t="n">
        <v>3</v>
      </c>
      <c r="Z15" s="2" t="s">
        <v>47</v>
      </c>
      <c r="AA15" s="3"/>
      <c r="AB15" s="5"/>
      <c r="AC15" s="5"/>
      <c r="AD15" s="3"/>
      <c r="AE15" s="3"/>
    </row>
    <row r="16" customFormat="false" ht="60" hidden="false" customHeight="true" outlineLevel="0" collapsed="false">
      <c r="A16" s="2" t="s">
        <v>178</v>
      </c>
      <c r="B16" s="2" t="n">
        <v>2021</v>
      </c>
      <c r="C16" s="2" t="s">
        <v>160</v>
      </c>
      <c r="D16" s="2" t="s">
        <v>161</v>
      </c>
      <c r="E16" s="2" t="s">
        <v>34</v>
      </c>
      <c r="F16" s="2" t="n">
        <v>1</v>
      </c>
      <c r="G16" s="2" t="s">
        <v>52</v>
      </c>
      <c r="H16" s="2"/>
      <c r="I16" s="2" t="n">
        <v>4</v>
      </c>
      <c r="J16" s="2" t="n">
        <v>0</v>
      </c>
      <c r="K16" s="2" t="s">
        <v>64</v>
      </c>
      <c r="L16" s="2"/>
      <c r="M16" s="2"/>
      <c r="N16" s="2"/>
      <c r="O16" s="3"/>
      <c r="P16" s="2" t="s">
        <v>142</v>
      </c>
      <c r="Q16" s="2" t="s">
        <v>143</v>
      </c>
      <c r="R16" s="2" t="s">
        <v>144</v>
      </c>
      <c r="S16" s="2" t="s">
        <v>179</v>
      </c>
      <c r="T16" s="3" t="s">
        <v>180</v>
      </c>
      <c r="U16" s="3" t="s">
        <v>169</v>
      </c>
      <c r="V16" s="3" t="s">
        <v>181</v>
      </c>
      <c r="W16" s="3" t="s">
        <v>182</v>
      </c>
      <c r="X16" s="2" t="n">
        <v>6</v>
      </c>
      <c r="Y16" s="2" t="n">
        <v>3</v>
      </c>
      <c r="Z16" s="2" t="s">
        <v>47</v>
      </c>
      <c r="AA16" s="3"/>
      <c r="AB16" s="5"/>
      <c r="AC16" s="5"/>
      <c r="AD16" s="3" t="s">
        <v>183</v>
      </c>
      <c r="AE16" s="3"/>
    </row>
    <row r="17" customFormat="false" ht="60" hidden="false" customHeight="true" outlineLevel="0" collapsed="false">
      <c r="A17" s="2" t="s">
        <v>184</v>
      </c>
      <c r="B17" s="2" t="n">
        <v>2021</v>
      </c>
      <c r="C17" s="2" t="s">
        <v>160</v>
      </c>
      <c r="D17" s="2" t="s">
        <v>161</v>
      </c>
      <c r="E17" s="2" t="s">
        <v>34</v>
      </c>
      <c r="F17" s="2" t="n">
        <v>1</v>
      </c>
      <c r="G17" s="2" t="s">
        <v>63</v>
      </c>
      <c r="H17" s="2"/>
      <c r="I17" s="2" t="n">
        <v>2</v>
      </c>
      <c r="J17" s="2" t="n">
        <v>0</v>
      </c>
      <c r="K17" s="2" t="s">
        <v>64</v>
      </c>
      <c r="L17" s="2"/>
      <c r="M17" s="2"/>
      <c r="N17" s="2"/>
      <c r="O17" s="3"/>
      <c r="P17" s="2" t="s">
        <v>185</v>
      </c>
      <c r="Q17" s="2" t="s">
        <v>186</v>
      </c>
      <c r="R17" s="2" t="s">
        <v>187</v>
      </c>
      <c r="S17" s="2" t="s">
        <v>188</v>
      </c>
      <c r="T17" s="3" t="s">
        <v>189</v>
      </c>
      <c r="U17" s="3" t="s">
        <v>169</v>
      </c>
      <c r="V17" s="3" t="s">
        <v>190</v>
      </c>
      <c r="W17" s="3" t="s">
        <v>191</v>
      </c>
      <c r="X17" s="2" t="n">
        <v>7</v>
      </c>
      <c r="Y17" s="2" t="n">
        <v>3</v>
      </c>
      <c r="Z17" s="2" t="s">
        <v>47</v>
      </c>
      <c r="AA17" s="3"/>
      <c r="AB17" s="5"/>
      <c r="AC17" s="5"/>
      <c r="AD17" s="3"/>
      <c r="AE17" s="3"/>
    </row>
    <row r="18" customFormat="false" ht="60" hidden="false" customHeight="true" outlineLevel="0" collapsed="false">
      <c r="A18" s="2" t="s">
        <v>192</v>
      </c>
      <c r="B18" s="2" t="n">
        <v>2021</v>
      </c>
      <c r="C18" s="2" t="s">
        <v>160</v>
      </c>
      <c r="D18" s="2" t="s">
        <v>161</v>
      </c>
      <c r="E18" s="2" t="s">
        <v>34</v>
      </c>
      <c r="F18" s="2" t="n">
        <v>1</v>
      </c>
      <c r="G18" s="2" t="s">
        <v>72</v>
      </c>
      <c r="H18" s="2"/>
      <c r="I18" s="2" t="n">
        <v>6</v>
      </c>
      <c r="J18" s="2" t="n">
        <v>1</v>
      </c>
      <c r="K18" s="2" t="s">
        <v>85</v>
      </c>
      <c r="L18" s="2"/>
      <c r="M18" s="2"/>
      <c r="N18" s="2"/>
      <c r="O18" s="3"/>
      <c r="P18" s="2" t="s">
        <v>193</v>
      </c>
      <c r="Q18" s="2" t="s">
        <v>194</v>
      </c>
      <c r="R18" s="2" t="s">
        <v>195</v>
      </c>
      <c r="S18" s="2" t="s">
        <v>196</v>
      </c>
      <c r="T18" s="3" t="s">
        <v>197</v>
      </c>
      <c r="U18" s="3" t="s">
        <v>169</v>
      </c>
      <c r="V18" s="3" t="s">
        <v>198</v>
      </c>
      <c r="W18" s="3" t="s">
        <v>199</v>
      </c>
      <c r="X18" s="2" t="n">
        <v>7</v>
      </c>
      <c r="Y18" s="2" t="n">
        <v>3</v>
      </c>
      <c r="Z18" s="2" t="s">
        <v>47</v>
      </c>
      <c r="AA18" s="3"/>
      <c r="AB18" s="5"/>
      <c r="AC18" s="5"/>
      <c r="AD18" s="3"/>
      <c r="AE18" s="3"/>
    </row>
    <row r="19" customFormat="false" ht="60" hidden="false" customHeight="true" outlineLevel="0" collapsed="false">
      <c r="A19" s="2" t="s">
        <v>200</v>
      </c>
      <c r="B19" s="2" t="n">
        <v>2021</v>
      </c>
      <c r="C19" s="2" t="s">
        <v>160</v>
      </c>
      <c r="D19" s="2" t="s">
        <v>161</v>
      </c>
      <c r="E19" s="2" t="s">
        <v>34</v>
      </c>
      <c r="F19" s="2" t="n">
        <v>1</v>
      </c>
      <c r="G19" s="2" t="s">
        <v>84</v>
      </c>
      <c r="H19" s="2"/>
      <c r="I19" s="2" t="n">
        <v>6</v>
      </c>
      <c r="J19" s="2" t="n">
        <v>1</v>
      </c>
      <c r="K19" s="2" t="s">
        <v>85</v>
      </c>
      <c r="L19" s="2"/>
      <c r="M19" s="2"/>
      <c r="N19" s="2"/>
      <c r="O19" s="3"/>
      <c r="P19" s="2" t="s">
        <v>201</v>
      </c>
      <c r="Q19" s="2" t="s">
        <v>202</v>
      </c>
      <c r="R19" s="2" t="s">
        <v>203</v>
      </c>
      <c r="S19" s="2" t="s">
        <v>204</v>
      </c>
      <c r="T19" s="3" t="s">
        <v>205</v>
      </c>
      <c r="U19" s="3" t="s">
        <v>169</v>
      </c>
      <c r="V19" s="3" t="s">
        <v>206</v>
      </c>
      <c r="W19" s="3" t="s">
        <v>207</v>
      </c>
      <c r="X19" s="2" t="n">
        <v>8</v>
      </c>
      <c r="Y19" s="2" t="n">
        <v>3</v>
      </c>
      <c r="Z19" s="2" t="s">
        <v>47</v>
      </c>
      <c r="AA19" s="3"/>
      <c r="AB19" s="5"/>
      <c r="AC19" s="5"/>
      <c r="AD19" s="3"/>
      <c r="AE19" s="3"/>
    </row>
    <row r="20" customFormat="false" ht="60" hidden="false" customHeight="true" outlineLevel="0" collapsed="false">
      <c r="A20" s="2" t="s">
        <v>208</v>
      </c>
      <c r="B20" s="2" t="n">
        <v>2021</v>
      </c>
      <c r="C20" s="2" t="s">
        <v>160</v>
      </c>
      <c r="D20" s="2" t="s">
        <v>161</v>
      </c>
      <c r="E20" s="2" t="s">
        <v>104</v>
      </c>
      <c r="F20" s="2" t="n">
        <v>2</v>
      </c>
      <c r="G20" s="2" t="s">
        <v>35</v>
      </c>
      <c r="H20" s="2" t="s">
        <v>105</v>
      </c>
      <c r="I20" s="2" t="n">
        <v>8</v>
      </c>
      <c r="J20" s="2" t="n">
        <v>0</v>
      </c>
      <c r="K20" s="2" t="s">
        <v>64</v>
      </c>
      <c r="L20" s="2"/>
      <c r="M20" s="2"/>
      <c r="N20" s="2"/>
      <c r="O20" s="3"/>
      <c r="P20" s="2" t="s">
        <v>209</v>
      </c>
      <c r="Q20" s="2" t="s">
        <v>210</v>
      </c>
      <c r="R20" s="2" t="s">
        <v>211</v>
      </c>
      <c r="S20" s="2" t="s">
        <v>212</v>
      </c>
      <c r="T20" s="3" t="s">
        <v>213</v>
      </c>
      <c r="U20" s="3"/>
      <c r="V20" s="3" t="s">
        <v>214</v>
      </c>
      <c r="W20" s="3" t="s">
        <v>215</v>
      </c>
      <c r="X20" s="2" t="n">
        <v>9</v>
      </c>
      <c r="Y20" s="2" t="n">
        <v>3</v>
      </c>
      <c r="Z20" s="2" t="s">
        <v>47</v>
      </c>
      <c r="AA20" s="3"/>
      <c r="AB20" s="5"/>
      <c r="AC20" s="5"/>
      <c r="AD20" s="3" t="s">
        <v>216</v>
      </c>
      <c r="AE20" s="3"/>
    </row>
    <row r="21" customFormat="false" ht="60" hidden="false" customHeight="true" outlineLevel="0" collapsed="false">
      <c r="A21" s="2" t="s">
        <v>217</v>
      </c>
      <c r="B21" s="2" t="n">
        <v>2021</v>
      </c>
      <c r="C21" s="2" t="s">
        <v>160</v>
      </c>
      <c r="D21" s="2" t="s">
        <v>161</v>
      </c>
      <c r="E21" s="2" t="s">
        <v>104</v>
      </c>
      <c r="F21" s="2" t="n">
        <v>2</v>
      </c>
      <c r="G21" s="2" t="s">
        <v>52</v>
      </c>
      <c r="H21" s="2" t="s">
        <v>105</v>
      </c>
      <c r="I21" s="2" t="n">
        <v>12</v>
      </c>
      <c r="J21" s="2" t="n">
        <v>4</v>
      </c>
      <c r="K21" s="2" t="s">
        <v>85</v>
      </c>
      <c r="L21" s="2"/>
      <c r="M21" s="2"/>
      <c r="N21" s="2"/>
      <c r="O21" s="3"/>
      <c r="P21" s="2" t="s">
        <v>151</v>
      </c>
      <c r="Q21" s="2" t="s">
        <v>152</v>
      </c>
      <c r="R21" s="2" t="s">
        <v>218</v>
      </c>
      <c r="S21" s="2" t="s">
        <v>219</v>
      </c>
      <c r="T21" s="3" t="s">
        <v>220</v>
      </c>
      <c r="U21" s="3"/>
      <c r="V21" s="3" t="s">
        <v>221</v>
      </c>
      <c r="W21" s="3" t="s">
        <v>222</v>
      </c>
      <c r="X21" s="2" t="n">
        <v>10</v>
      </c>
      <c r="Y21" s="2" t="n">
        <v>3</v>
      </c>
      <c r="Z21" s="2" t="s">
        <v>47</v>
      </c>
      <c r="AA21" s="3"/>
      <c r="AB21" s="5"/>
      <c r="AC21" s="5"/>
      <c r="AD21" s="3"/>
      <c r="AE21" s="3"/>
    </row>
    <row r="22" customFormat="false" ht="60" hidden="false" customHeight="true" outlineLevel="0" collapsed="false">
      <c r="A22" s="2" t="s">
        <v>223</v>
      </c>
      <c r="B22" s="2" t="n">
        <v>2021</v>
      </c>
      <c r="C22" s="2" t="s">
        <v>160</v>
      </c>
      <c r="D22" s="2" t="s">
        <v>161</v>
      </c>
      <c r="E22" s="2" t="s">
        <v>104</v>
      </c>
      <c r="F22" s="2" t="n">
        <v>3</v>
      </c>
      <c r="G22" s="2" t="s">
        <v>35</v>
      </c>
      <c r="H22" s="2" t="s">
        <v>105</v>
      </c>
      <c r="I22" s="2" t="n">
        <v>8</v>
      </c>
      <c r="J22" s="2" t="n">
        <v>0</v>
      </c>
      <c r="K22" s="2" t="s">
        <v>64</v>
      </c>
      <c r="L22" s="2"/>
      <c r="M22" s="2" t="s">
        <v>37</v>
      </c>
      <c r="N22" s="2"/>
      <c r="O22" s="3" t="s">
        <v>73</v>
      </c>
      <c r="P22" s="2" t="s">
        <v>224</v>
      </c>
      <c r="Q22" s="2" t="s">
        <v>225</v>
      </c>
      <c r="R22" s="2" t="s">
        <v>226</v>
      </c>
      <c r="S22" s="2" t="s">
        <v>227</v>
      </c>
      <c r="T22" s="3" t="s">
        <v>228</v>
      </c>
      <c r="U22" s="3"/>
      <c r="V22" s="3" t="s">
        <v>229</v>
      </c>
      <c r="W22" s="3" t="s">
        <v>230</v>
      </c>
      <c r="X22" s="2" t="n">
        <v>11</v>
      </c>
      <c r="Y22" s="2" t="n">
        <v>3</v>
      </c>
      <c r="Z22" s="2" t="s">
        <v>47</v>
      </c>
      <c r="AA22" s="3"/>
      <c r="AB22" s="5"/>
      <c r="AC22" s="5"/>
      <c r="AD22" s="3"/>
      <c r="AE22" s="3"/>
    </row>
    <row r="23" customFormat="false" ht="60" hidden="false" customHeight="true" outlineLevel="0" collapsed="false">
      <c r="A23" s="2" t="s">
        <v>231</v>
      </c>
      <c r="B23" s="2" t="n">
        <v>2021</v>
      </c>
      <c r="C23" s="2" t="s">
        <v>160</v>
      </c>
      <c r="D23" s="2" t="s">
        <v>161</v>
      </c>
      <c r="E23" s="2" t="s">
        <v>104</v>
      </c>
      <c r="F23" s="2" t="n">
        <v>3</v>
      </c>
      <c r="G23" s="2" t="s">
        <v>52</v>
      </c>
      <c r="H23" s="2" t="s">
        <v>105</v>
      </c>
      <c r="I23" s="2" t="n">
        <v>12</v>
      </c>
      <c r="J23" s="2" t="n">
        <v>4</v>
      </c>
      <c r="K23" s="2" t="s">
        <v>85</v>
      </c>
      <c r="L23" s="2"/>
      <c r="M23" s="2"/>
      <c r="N23" s="2"/>
      <c r="O23" s="3" t="s">
        <v>232</v>
      </c>
      <c r="P23" s="2" t="s">
        <v>124</v>
      </c>
      <c r="Q23" s="2" t="s">
        <v>125</v>
      </c>
      <c r="R23" s="2" t="s">
        <v>126</v>
      </c>
      <c r="S23" s="2" t="s">
        <v>233</v>
      </c>
      <c r="T23" s="3" t="s">
        <v>234</v>
      </c>
      <c r="U23" s="3"/>
      <c r="V23" s="3" t="s">
        <v>235</v>
      </c>
      <c r="W23" s="3" t="s">
        <v>236</v>
      </c>
      <c r="X23" s="2" t="n">
        <v>12</v>
      </c>
      <c r="Y23" s="2" t="n">
        <v>3</v>
      </c>
      <c r="Z23" s="2" t="s">
        <v>47</v>
      </c>
      <c r="AA23" s="3"/>
      <c r="AB23" s="5"/>
      <c r="AC23" s="5"/>
      <c r="AD23" s="3" t="s">
        <v>237</v>
      </c>
      <c r="AE23" s="3"/>
    </row>
    <row r="24" customFormat="false" ht="60" hidden="false" customHeight="true" outlineLevel="0" collapsed="false">
      <c r="A24" s="2" t="s">
        <v>238</v>
      </c>
      <c r="B24" s="2" t="n">
        <v>2021</v>
      </c>
      <c r="C24" s="2" t="s">
        <v>160</v>
      </c>
      <c r="D24" s="2" t="s">
        <v>161</v>
      </c>
      <c r="E24" s="2" t="s">
        <v>104</v>
      </c>
      <c r="F24" s="2" t="n">
        <v>4</v>
      </c>
      <c r="G24" s="2" t="s">
        <v>35</v>
      </c>
      <c r="H24" s="2" t="s">
        <v>105</v>
      </c>
      <c r="I24" s="2" t="n">
        <v>8</v>
      </c>
      <c r="J24" s="2" t="n">
        <v>0</v>
      </c>
      <c r="K24" s="2" t="s">
        <v>64</v>
      </c>
      <c r="L24" s="2"/>
      <c r="M24" s="2" t="s">
        <v>37</v>
      </c>
      <c r="N24" s="2"/>
      <c r="O24" s="3" t="s">
        <v>73</v>
      </c>
      <c r="P24" s="2" t="s">
        <v>74</v>
      </c>
      <c r="Q24" s="2" t="s">
        <v>75</v>
      </c>
      <c r="R24" s="2" t="s">
        <v>239</v>
      </c>
      <c r="S24" s="2" t="s">
        <v>77</v>
      </c>
      <c r="T24" s="3" t="s">
        <v>240</v>
      </c>
      <c r="U24" s="3"/>
      <c r="V24" s="3" t="s">
        <v>241</v>
      </c>
      <c r="W24" s="3" t="s">
        <v>242</v>
      </c>
      <c r="X24" s="2" t="n">
        <v>13</v>
      </c>
      <c r="Y24" s="2" t="n">
        <v>3</v>
      </c>
      <c r="Z24" s="2" t="s">
        <v>47</v>
      </c>
      <c r="AA24" s="3"/>
      <c r="AB24" s="5"/>
      <c r="AC24" s="5"/>
      <c r="AD24" s="3" t="s">
        <v>243</v>
      </c>
      <c r="AE24" s="3"/>
    </row>
    <row r="25" customFormat="false" ht="60" hidden="false" customHeight="true" outlineLevel="0" collapsed="false">
      <c r="A25" s="2" t="s">
        <v>244</v>
      </c>
      <c r="B25" s="2" t="n">
        <v>2021</v>
      </c>
      <c r="C25" s="2" t="s">
        <v>160</v>
      </c>
      <c r="D25" s="2" t="s">
        <v>161</v>
      </c>
      <c r="E25" s="2" t="s">
        <v>104</v>
      </c>
      <c r="F25" s="2" t="n">
        <v>4</v>
      </c>
      <c r="G25" s="2" t="s">
        <v>52</v>
      </c>
      <c r="H25" s="2" t="s">
        <v>105</v>
      </c>
      <c r="I25" s="2" t="n">
        <v>12</v>
      </c>
      <c r="J25" s="2" t="n">
        <v>4</v>
      </c>
      <c r="K25" s="2" t="s">
        <v>85</v>
      </c>
      <c r="L25" s="2"/>
      <c r="M25" s="2"/>
      <c r="N25" s="2"/>
      <c r="O25" s="3"/>
      <c r="P25" s="2" t="s">
        <v>87</v>
      </c>
      <c r="Q25" s="2" t="s">
        <v>88</v>
      </c>
      <c r="R25" s="2" t="s">
        <v>245</v>
      </c>
      <c r="S25" s="2" t="s">
        <v>246</v>
      </c>
      <c r="T25" s="3" t="s">
        <v>247</v>
      </c>
      <c r="U25" s="3"/>
      <c r="V25" s="3" t="s">
        <v>248</v>
      </c>
      <c r="W25" s="3" t="s">
        <v>249</v>
      </c>
      <c r="X25" s="2" t="n">
        <v>14</v>
      </c>
      <c r="Y25" s="2" t="n">
        <v>3</v>
      </c>
      <c r="Z25" s="2" t="s">
        <v>47</v>
      </c>
      <c r="AA25" s="3"/>
      <c r="AB25" s="5"/>
      <c r="AC25" s="5"/>
      <c r="AD25" s="3" t="s">
        <v>250</v>
      </c>
      <c r="AE25" s="3"/>
    </row>
    <row r="26" customFormat="false" ht="60" hidden="false" customHeight="true" outlineLevel="0" collapsed="false">
      <c r="A26" s="2" t="s">
        <v>251</v>
      </c>
      <c r="B26" s="2" t="n">
        <v>2021</v>
      </c>
      <c r="C26" s="2" t="s">
        <v>160</v>
      </c>
      <c r="D26" s="2" t="s">
        <v>33</v>
      </c>
      <c r="E26" s="2" t="s">
        <v>34</v>
      </c>
      <c r="F26" s="2" t="n">
        <v>1</v>
      </c>
      <c r="G26" s="2" t="s">
        <v>35</v>
      </c>
      <c r="H26" s="2"/>
      <c r="I26" s="2" t="n">
        <v>2</v>
      </c>
      <c r="J26" s="2" t="n">
        <v>0</v>
      </c>
      <c r="K26" s="2" t="s">
        <v>252</v>
      </c>
      <c r="L26" s="2"/>
      <c r="M26" s="2"/>
      <c r="N26" s="2"/>
      <c r="O26" s="3"/>
      <c r="P26" s="2" t="s">
        <v>39</v>
      </c>
      <c r="Q26" s="2" t="s">
        <v>40</v>
      </c>
      <c r="R26" s="2" t="s">
        <v>41</v>
      </c>
      <c r="S26" s="2" t="s">
        <v>42</v>
      </c>
      <c r="T26" s="3" t="s">
        <v>253</v>
      </c>
      <c r="U26" s="3" t="s">
        <v>254</v>
      </c>
      <c r="V26" s="3" t="s">
        <v>255</v>
      </c>
      <c r="W26" s="3" t="s">
        <v>256</v>
      </c>
      <c r="X26" s="2" t="n">
        <v>6</v>
      </c>
      <c r="Y26" s="2" t="n">
        <v>3</v>
      </c>
      <c r="Z26" s="2" t="s">
        <v>47</v>
      </c>
      <c r="AA26" s="3"/>
      <c r="AB26" s="5"/>
      <c r="AC26" s="5"/>
      <c r="AD26" s="3"/>
      <c r="AE26" s="3"/>
    </row>
    <row r="27" customFormat="false" ht="60" hidden="false" customHeight="true" outlineLevel="0" collapsed="false">
      <c r="A27" s="2" t="s">
        <v>257</v>
      </c>
      <c r="B27" s="2" t="n">
        <v>2021</v>
      </c>
      <c r="C27" s="2" t="s">
        <v>160</v>
      </c>
      <c r="D27" s="2" t="s">
        <v>33</v>
      </c>
      <c r="E27" s="2" t="s">
        <v>34</v>
      </c>
      <c r="F27" s="2" t="n">
        <v>1</v>
      </c>
      <c r="G27" s="2" t="s">
        <v>52</v>
      </c>
      <c r="H27" s="2"/>
      <c r="I27" s="2" t="n">
        <v>2</v>
      </c>
      <c r="J27" s="2" t="n">
        <v>0</v>
      </c>
      <c r="K27" s="2" t="s">
        <v>252</v>
      </c>
      <c r="L27" s="2"/>
      <c r="M27" s="2"/>
      <c r="N27" s="2"/>
      <c r="O27" s="3"/>
      <c r="P27" s="2" t="s">
        <v>164</v>
      </c>
      <c r="Q27" s="2" t="s">
        <v>165</v>
      </c>
      <c r="R27" s="2" t="s">
        <v>166</v>
      </c>
      <c r="S27" s="2" t="s">
        <v>167</v>
      </c>
      <c r="T27" s="3" t="s">
        <v>258</v>
      </c>
      <c r="U27" s="3" t="s">
        <v>254</v>
      </c>
      <c r="V27" s="3" t="s">
        <v>259</v>
      </c>
      <c r="W27" s="3" t="s">
        <v>260</v>
      </c>
      <c r="X27" s="2" t="n">
        <v>6</v>
      </c>
      <c r="Y27" s="2" t="n">
        <v>3</v>
      </c>
      <c r="Z27" s="2" t="s">
        <v>47</v>
      </c>
      <c r="AA27" s="3"/>
      <c r="AB27" s="5"/>
      <c r="AC27" s="5"/>
      <c r="AD27" s="3"/>
      <c r="AE27" s="3"/>
    </row>
    <row r="28" customFormat="false" ht="60" hidden="false" customHeight="true" outlineLevel="0" collapsed="false">
      <c r="A28" s="2" t="s">
        <v>261</v>
      </c>
      <c r="B28" s="2" t="n">
        <v>2021</v>
      </c>
      <c r="C28" s="2" t="s">
        <v>160</v>
      </c>
      <c r="D28" s="2" t="s">
        <v>33</v>
      </c>
      <c r="E28" s="2" t="s">
        <v>34</v>
      </c>
      <c r="F28" s="2" t="n">
        <v>1</v>
      </c>
      <c r="G28" s="2" t="s">
        <v>63</v>
      </c>
      <c r="H28" s="2"/>
      <c r="I28" s="2" t="n">
        <v>4</v>
      </c>
      <c r="J28" s="2" t="n">
        <v>0</v>
      </c>
      <c r="K28" s="2" t="s">
        <v>64</v>
      </c>
      <c r="L28" s="2"/>
      <c r="M28" s="2"/>
      <c r="N28" s="2"/>
      <c r="O28" s="3"/>
      <c r="P28" s="2" t="s">
        <v>115</v>
      </c>
      <c r="Q28" s="2" t="s">
        <v>116</v>
      </c>
      <c r="R28" s="2" t="s">
        <v>262</v>
      </c>
      <c r="S28" s="2" t="s">
        <v>263</v>
      </c>
      <c r="T28" s="3" t="s">
        <v>264</v>
      </c>
      <c r="U28" s="3" t="s">
        <v>254</v>
      </c>
      <c r="V28" s="3" t="s">
        <v>265</v>
      </c>
      <c r="W28" s="3" t="s">
        <v>266</v>
      </c>
      <c r="X28" s="2" t="n">
        <v>7</v>
      </c>
      <c r="Y28" s="2" t="n">
        <v>3</v>
      </c>
      <c r="Z28" s="2" t="s">
        <v>47</v>
      </c>
      <c r="AA28" s="3"/>
      <c r="AB28" s="5"/>
      <c r="AC28" s="5"/>
      <c r="AD28" s="3"/>
      <c r="AE28" s="3"/>
    </row>
    <row r="29" customFormat="false" ht="60" hidden="false" customHeight="true" outlineLevel="0" collapsed="false">
      <c r="A29" s="2" t="s">
        <v>267</v>
      </c>
      <c r="B29" s="2" t="n">
        <v>2021</v>
      </c>
      <c r="C29" s="2" t="s">
        <v>160</v>
      </c>
      <c r="D29" s="2" t="s">
        <v>33</v>
      </c>
      <c r="E29" s="2" t="s">
        <v>34</v>
      </c>
      <c r="F29" s="2" t="n">
        <v>1</v>
      </c>
      <c r="G29" s="2" t="s">
        <v>72</v>
      </c>
      <c r="H29" s="2"/>
      <c r="I29" s="2" t="n">
        <v>6</v>
      </c>
      <c r="J29" s="2" t="n">
        <v>0</v>
      </c>
      <c r="K29" s="2" t="s">
        <v>85</v>
      </c>
      <c r="L29" s="2"/>
      <c r="M29" s="2"/>
      <c r="N29" s="2"/>
      <c r="O29" s="3" t="s">
        <v>232</v>
      </c>
      <c r="P29" s="2" t="s">
        <v>133</v>
      </c>
      <c r="Q29" s="2" t="s">
        <v>134</v>
      </c>
      <c r="R29" s="2" t="s">
        <v>268</v>
      </c>
      <c r="S29" s="2" t="s">
        <v>269</v>
      </c>
      <c r="T29" s="3" t="s">
        <v>270</v>
      </c>
      <c r="U29" s="3" t="s">
        <v>254</v>
      </c>
      <c r="V29" s="3" t="s">
        <v>271</v>
      </c>
      <c r="W29" s="3" t="s">
        <v>272</v>
      </c>
      <c r="X29" s="2" t="n">
        <v>8</v>
      </c>
      <c r="Y29" s="2" t="n">
        <v>3</v>
      </c>
      <c r="Z29" s="2" t="s">
        <v>47</v>
      </c>
      <c r="AA29" s="3"/>
      <c r="AB29" s="5"/>
      <c r="AC29" s="5"/>
      <c r="AD29" s="3"/>
      <c r="AE29" s="3"/>
    </row>
    <row r="30" customFormat="false" ht="60" hidden="false" customHeight="true" outlineLevel="0" collapsed="false">
      <c r="A30" s="2" t="s">
        <v>273</v>
      </c>
      <c r="B30" s="2" t="n">
        <v>2021</v>
      </c>
      <c r="C30" s="2" t="s">
        <v>160</v>
      </c>
      <c r="D30" s="2" t="s">
        <v>33</v>
      </c>
      <c r="E30" s="2" t="s">
        <v>34</v>
      </c>
      <c r="F30" s="2" t="n">
        <v>1</v>
      </c>
      <c r="G30" s="2" t="s">
        <v>84</v>
      </c>
      <c r="H30" s="2"/>
      <c r="I30" s="2" t="n">
        <v>6</v>
      </c>
      <c r="J30" s="2" t="n">
        <v>2</v>
      </c>
      <c r="K30" s="2" t="s">
        <v>85</v>
      </c>
      <c r="L30" s="2"/>
      <c r="M30" s="2"/>
      <c r="N30" s="2"/>
      <c r="O30" s="3"/>
      <c r="P30" s="2" t="s">
        <v>133</v>
      </c>
      <c r="Q30" s="2" t="s">
        <v>134</v>
      </c>
      <c r="R30" s="2" t="s">
        <v>274</v>
      </c>
      <c r="S30" s="2" t="s">
        <v>275</v>
      </c>
      <c r="T30" s="3" t="s">
        <v>276</v>
      </c>
      <c r="U30" s="3" t="s">
        <v>254</v>
      </c>
      <c r="V30" s="3" t="s">
        <v>277</v>
      </c>
      <c r="W30" s="3" t="s">
        <v>278</v>
      </c>
      <c r="X30" s="2" t="n">
        <v>8</v>
      </c>
      <c r="Y30" s="2" t="n">
        <v>3</v>
      </c>
      <c r="Z30" s="2" t="s">
        <v>47</v>
      </c>
      <c r="AA30" s="3"/>
      <c r="AB30" s="5"/>
      <c r="AC30" s="5"/>
      <c r="AD30" s="3"/>
      <c r="AE30" s="3"/>
    </row>
    <row r="31" customFormat="false" ht="60" hidden="false" customHeight="true" outlineLevel="0" collapsed="false">
      <c r="A31" s="2" t="s">
        <v>279</v>
      </c>
      <c r="B31" s="2" t="n">
        <v>2021</v>
      </c>
      <c r="C31" s="2" t="s">
        <v>160</v>
      </c>
      <c r="D31" s="2" t="s">
        <v>33</v>
      </c>
      <c r="E31" s="2" t="s">
        <v>104</v>
      </c>
      <c r="F31" s="2" t="n">
        <v>2</v>
      </c>
      <c r="G31" s="2" t="s">
        <v>35</v>
      </c>
      <c r="H31" s="2" t="s">
        <v>105</v>
      </c>
      <c r="I31" s="2" t="n">
        <v>8</v>
      </c>
      <c r="J31" s="2" t="n">
        <v>0</v>
      </c>
      <c r="K31" s="2" t="s">
        <v>64</v>
      </c>
      <c r="L31" s="2" t="s">
        <v>280</v>
      </c>
      <c r="M31" s="2" t="s">
        <v>37</v>
      </c>
      <c r="N31" s="2"/>
      <c r="O31" s="3" t="s">
        <v>73</v>
      </c>
      <c r="P31" s="2" t="s">
        <v>151</v>
      </c>
      <c r="Q31" s="2" t="s">
        <v>152</v>
      </c>
      <c r="R31" s="2" t="s">
        <v>281</v>
      </c>
      <c r="S31" s="2" t="s">
        <v>282</v>
      </c>
      <c r="T31" s="3" t="s">
        <v>283</v>
      </c>
      <c r="U31" s="3"/>
      <c r="V31" s="3" t="s">
        <v>284</v>
      </c>
      <c r="W31" s="3" t="s">
        <v>285</v>
      </c>
      <c r="X31" s="2" t="n">
        <v>9</v>
      </c>
      <c r="Y31" s="2" t="n">
        <v>4</v>
      </c>
      <c r="Z31" s="2" t="s">
        <v>47</v>
      </c>
      <c r="AA31" s="3"/>
      <c r="AB31" s="5"/>
      <c r="AC31" s="5"/>
      <c r="AD31" s="3"/>
      <c r="AE31" s="3"/>
    </row>
    <row r="32" customFormat="false" ht="60" hidden="false" customHeight="true" outlineLevel="0" collapsed="false">
      <c r="A32" s="2" t="s">
        <v>286</v>
      </c>
      <c r="B32" s="2" t="n">
        <v>2021</v>
      </c>
      <c r="C32" s="2" t="s">
        <v>160</v>
      </c>
      <c r="D32" s="2" t="s">
        <v>33</v>
      </c>
      <c r="E32" s="2" t="s">
        <v>104</v>
      </c>
      <c r="F32" s="2" t="n">
        <v>2</v>
      </c>
      <c r="G32" s="2" t="s">
        <v>52</v>
      </c>
      <c r="H32" s="2" t="s">
        <v>105</v>
      </c>
      <c r="I32" s="2" t="n">
        <v>12</v>
      </c>
      <c r="J32" s="2" t="n">
        <v>4</v>
      </c>
      <c r="K32" s="2" t="s">
        <v>252</v>
      </c>
      <c r="L32" s="2" t="s">
        <v>86</v>
      </c>
      <c r="M32" s="2"/>
      <c r="N32" s="2"/>
      <c r="O32" s="3"/>
      <c r="P32" s="2" t="s">
        <v>151</v>
      </c>
      <c r="Q32" s="2" t="s">
        <v>152</v>
      </c>
      <c r="R32" s="2" t="s">
        <v>287</v>
      </c>
      <c r="S32" s="2" t="s">
        <v>288</v>
      </c>
      <c r="T32" s="3" t="s">
        <v>289</v>
      </c>
      <c r="U32" s="3"/>
      <c r="V32" s="3" t="s">
        <v>290</v>
      </c>
      <c r="W32" s="3" t="s">
        <v>291</v>
      </c>
      <c r="X32" s="2" t="n">
        <v>10</v>
      </c>
      <c r="Y32" s="2" t="n">
        <v>4</v>
      </c>
      <c r="Z32" s="2" t="s">
        <v>47</v>
      </c>
      <c r="AA32" s="3"/>
      <c r="AB32" s="5"/>
      <c r="AC32" s="5"/>
      <c r="AD32" s="3"/>
      <c r="AE32" s="3"/>
    </row>
    <row r="33" customFormat="false" ht="60" hidden="false" customHeight="true" outlineLevel="0" collapsed="false">
      <c r="A33" s="2" t="s">
        <v>292</v>
      </c>
      <c r="B33" s="2" t="n">
        <v>2021</v>
      </c>
      <c r="C33" s="2" t="s">
        <v>160</v>
      </c>
      <c r="D33" s="2" t="s">
        <v>33</v>
      </c>
      <c r="E33" s="2" t="s">
        <v>104</v>
      </c>
      <c r="F33" s="2" t="n">
        <v>3</v>
      </c>
      <c r="G33" s="2" t="s">
        <v>35</v>
      </c>
      <c r="H33" s="2" t="s">
        <v>105</v>
      </c>
      <c r="I33" s="2" t="n">
        <v>8</v>
      </c>
      <c r="J33" s="2" t="n">
        <v>0</v>
      </c>
      <c r="K33" s="2" t="s">
        <v>64</v>
      </c>
      <c r="L33" s="2"/>
      <c r="M33" s="2"/>
      <c r="N33" s="2"/>
      <c r="O33" s="3"/>
      <c r="P33" s="2" t="s">
        <v>124</v>
      </c>
      <c r="Q33" s="2" t="s">
        <v>125</v>
      </c>
      <c r="R33" s="2" t="s">
        <v>126</v>
      </c>
      <c r="S33" s="2" t="s">
        <v>127</v>
      </c>
      <c r="T33" s="3" t="s">
        <v>293</v>
      </c>
      <c r="U33" s="3"/>
      <c r="V33" s="3" t="s">
        <v>294</v>
      </c>
      <c r="W33" s="3" t="s">
        <v>295</v>
      </c>
      <c r="X33" s="2" t="n">
        <v>10</v>
      </c>
      <c r="Y33" s="2" t="n">
        <v>4</v>
      </c>
      <c r="Z33" s="2" t="s">
        <v>47</v>
      </c>
      <c r="AA33" s="3"/>
      <c r="AB33" s="5"/>
      <c r="AC33" s="5"/>
      <c r="AD33" s="3"/>
      <c r="AE33" s="3"/>
    </row>
    <row r="34" customFormat="false" ht="60" hidden="false" customHeight="true" outlineLevel="0" collapsed="false">
      <c r="A34" s="2" t="s">
        <v>296</v>
      </c>
      <c r="B34" s="2" t="n">
        <v>2021</v>
      </c>
      <c r="C34" s="2" t="s">
        <v>160</v>
      </c>
      <c r="D34" s="2" t="s">
        <v>33</v>
      </c>
      <c r="E34" s="2" t="s">
        <v>104</v>
      </c>
      <c r="F34" s="2" t="n">
        <v>3</v>
      </c>
      <c r="G34" s="2" t="s">
        <v>52</v>
      </c>
      <c r="H34" s="2" t="s">
        <v>105</v>
      </c>
      <c r="I34" s="2" t="n">
        <v>12</v>
      </c>
      <c r="J34" s="2" t="n">
        <v>4</v>
      </c>
      <c r="K34" s="2" t="s">
        <v>85</v>
      </c>
      <c r="L34" s="2" t="s">
        <v>86</v>
      </c>
      <c r="M34" s="2"/>
      <c r="N34" s="2"/>
      <c r="O34" s="3" t="s">
        <v>232</v>
      </c>
      <c r="P34" s="2" t="s">
        <v>124</v>
      </c>
      <c r="Q34" s="2" t="s">
        <v>125</v>
      </c>
      <c r="R34" s="2" t="s">
        <v>126</v>
      </c>
      <c r="S34" s="2" t="s">
        <v>233</v>
      </c>
      <c r="T34" s="3" t="s">
        <v>297</v>
      </c>
      <c r="U34" s="3"/>
      <c r="V34" s="3" t="s">
        <v>298</v>
      </c>
      <c r="W34" s="3" t="s">
        <v>299</v>
      </c>
      <c r="X34" s="2" t="n">
        <v>11</v>
      </c>
      <c r="Y34" s="2" t="n">
        <v>4</v>
      </c>
      <c r="Z34" s="2" t="s">
        <v>47</v>
      </c>
      <c r="AA34" s="3"/>
      <c r="AB34" s="5"/>
      <c r="AC34" s="5"/>
      <c r="AD34" s="3"/>
      <c r="AE34" s="3"/>
    </row>
    <row r="35" customFormat="false" ht="60" hidden="false" customHeight="true" outlineLevel="0" collapsed="false">
      <c r="A35" s="2" t="s">
        <v>300</v>
      </c>
      <c r="B35" s="2" t="n">
        <v>2021</v>
      </c>
      <c r="C35" s="2" t="s">
        <v>160</v>
      </c>
      <c r="D35" s="2" t="s">
        <v>33</v>
      </c>
      <c r="E35" s="2" t="s">
        <v>104</v>
      </c>
      <c r="F35" s="2" t="n">
        <v>4</v>
      </c>
      <c r="G35" s="2" t="s">
        <v>35</v>
      </c>
      <c r="H35" s="2" t="s">
        <v>105</v>
      </c>
      <c r="I35" s="2" t="n">
        <v>8</v>
      </c>
      <c r="J35" s="2" t="n">
        <v>0</v>
      </c>
      <c r="K35" s="2" t="s">
        <v>64</v>
      </c>
      <c r="L35" s="2"/>
      <c r="M35" s="2" t="s">
        <v>37</v>
      </c>
      <c r="N35" s="2"/>
      <c r="O35" s="3" t="s">
        <v>73</v>
      </c>
      <c r="P35" s="2" t="s">
        <v>39</v>
      </c>
      <c r="Q35" s="2" t="s">
        <v>40</v>
      </c>
      <c r="R35" s="2" t="s">
        <v>301</v>
      </c>
      <c r="S35" s="2" t="s">
        <v>302</v>
      </c>
      <c r="T35" s="3" t="s">
        <v>303</v>
      </c>
      <c r="U35" s="3"/>
      <c r="V35" s="3" t="s">
        <v>304</v>
      </c>
      <c r="W35" s="3" t="s">
        <v>305</v>
      </c>
      <c r="X35" s="2" t="n">
        <v>12</v>
      </c>
      <c r="Y35" s="2" t="n">
        <v>4</v>
      </c>
      <c r="Z35" s="2" t="s">
        <v>47</v>
      </c>
      <c r="AA35" s="3"/>
      <c r="AB35" s="5"/>
      <c r="AC35" s="5"/>
      <c r="AD35" s="3" t="s">
        <v>306</v>
      </c>
      <c r="AE35" s="3"/>
    </row>
    <row r="36" customFormat="false" ht="60" hidden="false" customHeight="true" outlineLevel="0" collapsed="false">
      <c r="A36" s="2" t="s">
        <v>307</v>
      </c>
      <c r="B36" s="2" t="n">
        <v>2021</v>
      </c>
      <c r="C36" s="2" t="s">
        <v>160</v>
      </c>
      <c r="D36" s="2" t="s">
        <v>33</v>
      </c>
      <c r="E36" s="2" t="s">
        <v>104</v>
      </c>
      <c r="F36" s="2" t="n">
        <v>4</v>
      </c>
      <c r="G36" s="2" t="s">
        <v>52</v>
      </c>
      <c r="H36" s="2" t="s">
        <v>105</v>
      </c>
      <c r="I36" s="2" t="n">
        <v>12</v>
      </c>
      <c r="J36" s="2" t="n">
        <v>4</v>
      </c>
      <c r="K36" s="2" t="s">
        <v>85</v>
      </c>
      <c r="L36" s="2"/>
      <c r="M36" s="2"/>
      <c r="N36" s="2"/>
      <c r="O36" s="3" t="s">
        <v>308</v>
      </c>
      <c r="P36" s="2" t="s">
        <v>87</v>
      </c>
      <c r="Q36" s="2" t="s">
        <v>88</v>
      </c>
      <c r="R36" s="2" t="s">
        <v>309</v>
      </c>
      <c r="S36" s="2" t="s">
        <v>310</v>
      </c>
      <c r="T36" s="3" t="s">
        <v>311</v>
      </c>
      <c r="U36" s="3"/>
      <c r="V36" s="3" t="s">
        <v>312</v>
      </c>
      <c r="W36" s="3" t="s">
        <v>313</v>
      </c>
      <c r="X36" s="2" t="n">
        <v>13</v>
      </c>
      <c r="Y36" s="2" t="n">
        <v>4</v>
      </c>
      <c r="Z36" s="2" t="s">
        <v>47</v>
      </c>
      <c r="AA36" s="3"/>
      <c r="AB36" s="5"/>
      <c r="AC36" s="5"/>
      <c r="AD36" s="3" t="s">
        <v>314</v>
      </c>
      <c r="AE36" s="3"/>
    </row>
    <row r="37" customFormat="false" ht="60" hidden="false" customHeight="true" outlineLevel="0" collapsed="false">
      <c r="A37" s="2" t="s">
        <v>315</v>
      </c>
      <c r="B37" s="2" t="n">
        <v>2021</v>
      </c>
      <c r="C37" s="2" t="s">
        <v>160</v>
      </c>
      <c r="D37" s="2" t="s">
        <v>316</v>
      </c>
      <c r="E37" s="2" t="s">
        <v>34</v>
      </c>
      <c r="F37" s="2" t="n">
        <v>1</v>
      </c>
      <c r="G37" s="2" t="s">
        <v>162</v>
      </c>
      <c r="H37" s="2"/>
      <c r="I37" s="2" t="n">
        <v>2</v>
      </c>
      <c r="J37" s="2" t="n">
        <v>0</v>
      </c>
      <c r="K37" s="2" t="s">
        <v>163</v>
      </c>
      <c r="L37" s="2"/>
      <c r="M37" s="2"/>
      <c r="N37" s="2"/>
      <c r="O37" s="3"/>
      <c r="P37" s="2" t="s">
        <v>185</v>
      </c>
      <c r="Q37" s="2" t="s">
        <v>186</v>
      </c>
      <c r="R37" s="2" t="s">
        <v>317</v>
      </c>
      <c r="S37" s="2" t="s">
        <v>318</v>
      </c>
      <c r="T37" s="3" t="s">
        <v>319</v>
      </c>
      <c r="U37" s="3" t="s">
        <v>320</v>
      </c>
      <c r="V37" s="3" t="s">
        <v>321</v>
      </c>
      <c r="W37" s="3" t="s">
        <v>322</v>
      </c>
      <c r="X37" s="2" t="n">
        <v>6</v>
      </c>
      <c r="Y37" s="2" t="n">
        <v>3</v>
      </c>
      <c r="Z37" s="2" t="s">
        <v>47</v>
      </c>
      <c r="AA37" s="4" t="s">
        <v>323</v>
      </c>
      <c r="AB37" s="5"/>
      <c r="AC37" s="5"/>
      <c r="AD37" s="3"/>
      <c r="AE37" s="3"/>
    </row>
    <row r="38" customFormat="false" ht="60" hidden="false" customHeight="true" outlineLevel="0" collapsed="false">
      <c r="A38" s="2" t="s">
        <v>324</v>
      </c>
      <c r="B38" s="2" t="n">
        <v>2021</v>
      </c>
      <c r="C38" s="2" t="s">
        <v>160</v>
      </c>
      <c r="D38" s="2" t="s">
        <v>316</v>
      </c>
      <c r="E38" s="2" t="s">
        <v>34</v>
      </c>
      <c r="F38" s="2" t="n">
        <v>1</v>
      </c>
      <c r="G38" s="2" t="s">
        <v>174</v>
      </c>
      <c r="H38" s="2"/>
      <c r="I38" s="2" t="n">
        <v>2</v>
      </c>
      <c r="J38" s="2" t="n">
        <v>0</v>
      </c>
      <c r="K38" s="2" t="s">
        <v>64</v>
      </c>
      <c r="L38" s="2"/>
      <c r="M38" s="2"/>
      <c r="N38" s="2"/>
      <c r="O38" s="3"/>
      <c r="P38" s="2" t="s">
        <v>185</v>
      </c>
      <c r="Q38" s="2" t="s">
        <v>186</v>
      </c>
      <c r="R38" s="2" t="s">
        <v>325</v>
      </c>
      <c r="S38" s="2" t="s">
        <v>326</v>
      </c>
      <c r="T38" s="3" t="s">
        <v>327</v>
      </c>
      <c r="U38" s="3" t="s">
        <v>320</v>
      </c>
      <c r="V38" s="3" t="s">
        <v>328</v>
      </c>
      <c r="W38" s="3" t="s">
        <v>329</v>
      </c>
      <c r="X38" s="2" t="n">
        <v>6</v>
      </c>
      <c r="Y38" s="2" t="n">
        <v>3</v>
      </c>
      <c r="Z38" s="2" t="s">
        <v>47</v>
      </c>
      <c r="AA38" s="4" t="s">
        <v>330</v>
      </c>
      <c r="AB38" s="5"/>
      <c r="AC38" s="5"/>
      <c r="AD38" s="3"/>
      <c r="AE38" s="3"/>
    </row>
    <row r="39" customFormat="false" ht="60" hidden="false" customHeight="true" outlineLevel="0" collapsed="false">
      <c r="A39" s="2" t="s">
        <v>331</v>
      </c>
      <c r="B39" s="2" t="n">
        <v>2021</v>
      </c>
      <c r="C39" s="2" t="s">
        <v>160</v>
      </c>
      <c r="D39" s="2" t="s">
        <v>316</v>
      </c>
      <c r="E39" s="2" t="s">
        <v>34</v>
      </c>
      <c r="F39" s="2" t="n">
        <v>1</v>
      </c>
      <c r="G39" s="2" t="s">
        <v>52</v>
      </c>
      <c r="H39" s="2"/>
      <c r="I39" s="2" t="n">
        <v>2</v>
      </c>
      <c r="J39" s="2" t="n">
        <v>0</v>
      </c>
      <c r="K39" s="2" t="s">
        <v>64</v>
      </c>
      <c r="L39" s="2"/>
      <c r="M39" s="2"/>
      <c r="N39" s="2"/>
      <c r="O39" s="3"/>
      <c r="P39" s="2" t="s">
        <v>332</v>
      </c>
      <c r="Q39" s="2" t="s">
        <v>333</v>
      </c>
      <c r="R39" s="2" t="s">
        <v>334</v>
      </c>
      <c r="S39" s="2" t="s">
        <v>335</v>
      </c>
      <c r="T39" s="3" t="s">
        <v>336</v>
      </c>
      <c r="U39" s="3" t="s">
        <v>320</v>
      </c>
      <c r="V39" s="3" t="s">
        <v>337</v>
      </c>
      <c r="W39" s="3" t="s">
        <v>338</v>
      </c>
      <c r="X39" s="2" t="n">
        <v>7</v>
      </c>
      <c r="Y39" s="2" t="n">
        <v>3</v>
      </c>
      <c r="Z39" s="2" t="s">
        <v>47</v>
      </c>
      <c r="AA39" s="3"/>
      <c r="AB39" s="5"/>
      <c r="AC39" s="5"/>
      <c r="AD39" s="3"/>
      <c r="AE39" s="3"/>
    </row>
    <row r="40" customFormat="false" ht="60" hidden="false" customHeight="true" outlineLevel="0" collapsed="false">
      <c r="A40" s="2" t="s">
        <v>339</v>
      </c>
      <c r="B40" s="2" t="n">
        <v>2021</v>
      </c>
      <c r="C40" s="2" t="s">
        <v>160</v>
      </c>
      <c r="D40" s="2" t="s">
        <v>316</v>
      </c>
      <c r="E40" s="2" t="s">
        <v>34</v>
      </c>
      <c r="F40" s="2" t="n">
        <v>1</v>
      </c>
      <c r="G40" s="2" t="s">
        <v>63</v>
      </c>
      <c r="H40" s="2"/>
      <c r="I40" s="2" t="n">
        <v>2</v>
      </c>
      <c r="J40" s="2" t="n">
        <v>0</v>
      </c>
      <c r="K40" s="2" t="s">
        <v>64</v>
      </c>
      <c r="L40" s="2"/>
      <c r="M40" s="2"/>
      <c r="N40" s="2"/>
      <c r="O40" s="3"/>
      <c r="P40" s="2" t="s">
        <v>209</v>
      </c>
      <c r="Q40" s="2" t="s">
        <v>210</v>
      </c>
      <c r="R40" s="2" t="s">
        <v>340</v>
      </c>
      <c r="S40" s="2" t="s">
        <v>341</v>
      </c>
      <c r="T40" s="3" t="s">
        <v>342</v>
      </c>
      <c r="U40" s="3" t="s">
        <v>320</v>
      </c>
      <c r="V40" s="3" t="s">
        <v>343</v>
      </c>
      <c r="W40" s="3" t="s">
        <v>344</v>
      </c>
      <c r="X40" s="2" t="n">
        <v>7</v>
      </c>
      <c r="Y40" s="2" t="n">
        <v>3</v>
      </c>
      <c r="Z40" s="2" t="s">
        <v>47</v>
      </c>
      <c r="AA40" s="3"/>
      <c r="AB40" s="5"/>
      <c r="AC40" s="5"/>
      <c r="AD40" s="3"/>
      <c r="AE40" s="3"/>
    </row>
    <row r="41" customFormat="false" ht="60" hidden="false" customHeight="true" outlineLevel="0" collapsed="false">
      <c r="A41" s="2" t="s">
        <v>345</v>
      </c>
      <c r="B41" s="2" t="n">
        <v>2021</v>
      </c>
      <c r="C41" s="2" t="s">
        <v>160</v>
      </c>
      <c r="D41" s="2" t="s">
        <v>316</v>
      </c>
      <c r="E41" s="2" t="s">
        <v>34</v>
      </c>
      <c r="F41" s="2" t="n">
        <v>1</v>
      </c>
      <c r="G41" s="2" t="s">
        <v>72</v>
      </c>
      <c r="H41" s="2"/>
      <c r="I41" s="2" t="n">
        <v>6</v>
      </c>
      <c r="J41" s="2" t="n">
        <v>1</v>
      </c>
      <c r="K41" s="2" t="s">
        <v>85</v>
      </c>
      <c r="L41" s="2"/>
      <c r="M41" s="2"/>
      <c r="N41" s="2"/>
      <c r="O41" s="3"/>
      <c r="P41" s="2" t="s">
        <v>151</v>
      </c>
      <c r="Q41" s="2" t="s">
        <v>152</v>
      </c>
      <c r="R41" s="2" t="s">
        <v>346</v>
      </c>
      <c r="S41" s="2" t="s">
        <v>347</v>
      </c>
      <c r="T41" s="3" t="s">
        <v>348</v>
      </c>
      <c r="U41" s="3" t="s">
        <v>320</v>
      </c>
      <c r="V41" s="3" t="s">
        <v>349</v>
      </c>
      <c r="W41" s="3" t="s">
        <v>350</v>
      </c>
      <c r="X41" s="2" t="n">
        <v>7</v>
      </c>
      <c r="Y41" s="2" t="n">
        <v>3</v>
      </c>
      <c r="Z41" s="2" t="s">
        <v>47</v>
      </c>
      <c r="AA41" s="3"/>
      <c r="AB41" s="5"/>
      <c r="AC41" s="5"/>
      <c r="AD41" s="3"/>
      <c r="AE41" s="3"/>
    </row>
    <row r="42" customFormat="false" ht="60" hidden="false" customHeight="true" outlineLevel="0" collapsed="false">
      <c r="A42" s="2" t="s">
        <v>351</v>
      </c>
      <c r="B42" s="2" t="n">
        <v>2021</v>
      </c>
      <c r="C42" s="2" t="s">
        <v>160</v>
      </c>
      <c r="D42" s="2" t="s">
        <v>316</v>
      </c>
      <c r="E42" s="2" t="s">
        <v>34</v>
      </c>
      <c r="F42" s="2" t="n">
        <v>1</v>
      </c>
      <c r="G42" s="2" t="s">
        <v>84</v>
      </c>
      <c r="H42" s="2"/>
      <c r="I42" s="2" t="n">
        <v>6</v>
      </c>
      <c r="J42" s="2" t="n">
        <v>1</v>
      </c>
      <c r="K42" s="2" t="s">
        <v>85</v>
      </c>
      <c r="L42" s="2"/>
      <c r="M42" s="2"/>
      <c r="N42" s="2"/>
      <c r="O42" s="3" t="s">
        <v>308</v>
      </c>
      <c r="P42" s="2" t="s">
        <v>151</v>
      </c>
      <c r="Q42" s="2" t="s">
        <v>152</v>
      </c>
      <c r="R42" s="2" t="s">
        <v>352</v>
      </c>
      <c r="S42" s="2" t="s">
        <v>219</v>
      </c>
      <c r="T42" s="3" t="s">
        <v>353</v>
      </c>
      <c r="U42" s="3" t="s">
        <v>320</v>
      </c>
      <c r="V42" s="3" t="s">
        <v>354</v>
      </c>
      <c r="W42" s="3" t="s">
        <v>355</v>
      </c>
      <c r="X42" s="2" t="n">
        <v>8</v>
      </c>
      <c r="Y42" s="2" t="n">
        <v>3</v>
      </c>
      <c r="Z42" s="2" t="s">
        <v>47</v>
      </c>
      <c r="AA42" s="3"/>
      <c r="AB42" s="5"/>
      <c r="AC42" s="5"/>
      <c r="AD42" s="3"/>
      <c r="AE42" s="3"/>
    </row>
    <row r="43" customFormat="false" ht="60" hidden="false" customHeight="true" outlineLevel="0" collapsed="false">
      <c r="A43" s="2" t="s">
        <v>356</v>
      </c>
      <c r="B43" s="2" t="n">
        <v>2021</v>
      </c>
      <c r="C43" s="2" t="s">
        <v>160</v>
      </c>
      <c r="D43" s="2" t="s">
        <v>316</v>
      </c>
      <c r="E43" s="2" t="s">
        <v>104</v>
      </c>
      <c r="F43" s="2" t="n">
        <v>2</v>
      </c>
      <c r="G43" s="2" t="s">
        <v>35</v>
      </c>
      <c r="H43" s="2" t="s">
        <v>105</v>
      </c>
      <c r="I43" s="2" t="n">
        <v>8</v>
      </c>
      <c r="J43" s="2" t="n">
        <v>0</v>
      </c>
      <c r="K43" s="2" t="s">
        <v>64</v>
      </c>
      <c r="L43" s="2"/>
      <c r="M43" s="2"/>
      <c r="N43" s="2"/>
      <c r="O43" s="3"/>
      <c r="P43" s="2" t="s">
        <v>124</v>
      </c>
      <c r="Q43" s="2" t="s">
        <v>125</v>
      </c>
      <c r="R43" s="2" t="s">
        <v>126</v>
      </c>
      <c r="S43" s="2" t="s">
        <v>127</v>
      </c>
      <c r="T43" s="3" t="s">
        <v>357</v>
      </c>
      <c r="U43" s="3"/>
      <c r="V43" s="3" t="s">
        <v>358</v>
      </c>
      <c r="W43" s="3" t="s">
        <v>359</v>
      </c>
      <c r="X43" s="2" t="n">
        <v>9</v>
      </c>
      <c r="Y43" s="2" t="n">
        <v>3</v>
      </c>
      <c r="Z43" s="2" t="s">
        <v>47</v>
      </c>
      <c r="AA43" s="3"/>
      <c r="AB43" s="5"/>
      <c r="AC43" s="5"/>
      <c r="AD43" s="3"/>
      <c r="AE43" s="3"/>
    </row>
    <row r="44" customFormat="false" ht="60" hidden="false" customHeight="true" outlineLevel="0" collapsed="false">
      <c r="A44" s="2" t="s">
        <v>360</v>
      </c>
      <c r="B44" s="2" t="n">
        <v>2021</v>
      </c>
      <c r="C44" s="2" t="s">
        <v>160</v>
      </c>
      <c r="D44" s="2" t="s">
        <v>316</v>
      </c>
      <c r="E44" s="2" t="s">
        <v>104</v>
      </c>
      <c r="F44" s="2" t="n">
        <v>2</v>
      </c>
      <c r="G44" s="2" t="s">
        <v>52</v>
      </c>
      <c r="H44" s="2" t="s">
        <v>105</v>
      </c>
      <c r="I44" s="2" t="n">
        <v>12</v>
      </c>
      <c r="J44" s="2" t="n">
        <v>4</v>
      </c>
      <c r="K44" s="2" t="s">
        <v>85</v>
      </c>
      <c r="L44" s="2"/>
      <c r="M44" s="2"/>
      <c r="N44" s="2"/>
      <c r="O44" s="3"/>
      <c r="P44" s="2" t="s">
        <v>151</v>
      </c>
      <c r="Q44" s="2" t="s">
        <v>152</v>
      </c>
      <c r="R44" s="2" t="s">
        <v>346</v>
      </c>
      <c r="S44" s="2" t="s">
        <v>361</v>
      </c>
      <c r="T44" s="3" t="s">
        <v>362</v>
      </c>
      <c r="U44" s="3"/>
      <c r="V44" s="3" t="s">
        <v>363</v>
      </c>
      <c r="W44" s="3" t="s">
        <v>364</v>
      </c>
      <c r="X44" s="2" t="n">
        <v>10</v>
      </c>
      <c r="Y44" s="2" t="n">
        <v>3</v>
      </c>
      <c r="Z44" s="2" t="s">
        <v>47</v>
      </c>
      <c r="AA44" s="3"/>
      <c r="AB44" s="5"/>
      <c r="AC44" s="5"/>
      <c r="AD44" s="3"/>
      <c r="AE44" s="3"/>
    </row>
    <row r="45" customFormat="false" ht="60" hidden="false" customHeight="true" outlineLevel="0" collapsed="false">
      <c r="A45" s="2" t="s">
        <v>365</v>
      </c>
      <c r="B45" s="2" t="n">
        <v>2021</v>
      </c>
      <c r="C45" s="2" t="s">
        <v>160</v>
      </c>
      <c r="D45" s="2" t="s">
        <v>316</v>
      </c>
      <c r="E45" s="2" t="s">
        <v>104</v>
      </c>
      <c r="F45" s="2" t="n">
        <v>3</v>
      </c>
      <c r="G45" s="2" t="s">
        <v>35</v>
      </c>
      <c r="H45" s="2" t="s">
        <v>105</v>
      </c>
      <c r="I45" s="2" t="n">
        <v>8</v>
      </c>
      <c r="J45" s="2" t="n">
        <v>0</v>
      </c>
      <c r="K45" s="2" t="s">
        <v>64</v>
      </c>
      <c r="L45" s="2"/>
      <c r="M45" s="2"/>
      <c r="N45" s="2"/>
      <c r="O45" s="3"/>
      <c r="P45" s="2" t="s">
        <v>201</v>
      </c>
      <c r="Q45" s="2" t="s">
        <v>202</v>
      </c>
      <c r="R45" s="2" t="s">
        <v>366</v>
      </c>
      <c r="S45" s="2" t="s">
        <v>367</v>
      </c>
      <c r="T45" s="3" t="s">
        <v>368</v>
      </c>
      <c r="U45" s="3"/>
      <c r="V45" s="3" t="s">
        <v>369</v>
      </c>
      <c r="W45" s="3" t="s">
        <v>370</v>
      </c>
      <c r="X45" s="2" t="n">
        <v>11</v>
      </c>
      <c r="Y45" s="2" t="n">
        <v>3</v>
      </c>
      <c r="Z45" s="2" t="s">
        <v>47</v>
      </c>
      <c r="AA45" s="3"/>
      <c r="AB45" s="5"/>
      <c r="AC45" s="5"/>
      <c r="AD45" s="3"/>
      <c r="AE45" s="3"/>
    </row>
    <row r="46" customFormat="false" ht="60" hidden="false" customHeight="true" outlineLevel="0" collapsed="false">
      <c r="A46" s="2" t="s">
        <v>371</v>
      </c>
      <c r="B46" s="2" t="n">
        <v>2021</v>
      </c>
      <c r="C46" s="2" t="s">
        <v>160</v>
      </c>
      <c r="D46" s="2" t="s">
        <v>316</v>
      </c>
      <c r="E46" s="2" t="s">
        <v>104</v>
      </c>
      <c r="F46" s="2" t="n">
        <v>3</v>
      </c>
      <c r="G46" s="2" t="s">
        <v>52</v>
      </c>
      <c r="H46" s="2" t="s">
        <v>105</v>
      </c>
      <c r="I46" s="2" t="n">
        <v>12</v>
      </c>
      <c r="J46" s="2" t="n">
        <v>4</v>
      </c>
      <c r="K46" s="2" t="s">
        <v>85</v>
      </c>
      <c r="L46" s="2"/>
      <c r="M46" s="2"/>
      <c r="N46" s="2"/>
      <c r="O46" s="3"/>
      <c r="P46" s="2" t="s">
        <v>201</v>
      </c>
      <c r="Q46" s="2" t="s">
        <v>202</v>
      </c>
      <c r="R46" s="2" t="s">
        <v>372</v>
      </c>
      <c r="S46" s="2" t="s">
        <v>373</v>
      </c>
      <c r="T46" s="3" t="s">
        <v>374</v>
      </c>
      <c r="U46" s="3"/>
      <c r="V46" s="3" t="s">
        <v>375</v>
      </c>
      <c r="W46" s="3" t="s">
        <v>376</v>
      </c>
      <c r="X46" s="2" t="n">
        <v>11</v>
      </c>
      <c r="Y46" s="2" t="n">
        <v>3</v>
      </c>
      <c r="Z46" s="2" t="s">
        <v>47</v>
      </c>
      <c r="AA46" s="3"/>
      <c r="AB46" s="5"/>
      <c r="AC46" s="5"/>
      <c r="AD46" s="3"/>
      <c r="AE46" s="3"/>
    </row>
    <row r="47" customFormat="false" ht="60" hidden="false" customHeight="true" outlineLevel="0" collapsed="false">
      <c r="A47" s="2" t="s">
        <v>377</v>
      </c>
      <c r="B47" s="2" t="n">
        <v>2021</v>
      </c>
      <c r="C47" s="2" t="s">
        <v>160</v>
      </c>
      <c r="D47" s="2" t="s">
        <v>316</v>
      </c>
      <c r="E47" s="2" t="s">
        <v>104</v>
      </c>
      <c r="F47" s="2" t="n">
        <v>4</v>
      </c>
      <c r="G47" s="2" t="s">
        <v>35</v>
      </c>
      <c r="H47" s="2" t="s">
        <v>105</v>
      </c>
      <c r="I47" s="2" t="n">
        <v>8</v>
      </c>
      <c r="J47" s="2" t="n">
        <v>0</v>
      </c>
      <c r="K47" s="2" t="s">
        <v>64</v>
      </c>
      <c r="L47" s="2"/>
      <c r="M47" s="2"/>
      <c r="N47" s="2"/>
      <c r="O47" s="3"/>
      <c r="P47" s="2" t="s">
        <v>133</v>
      </c>
      <c r="Q47" s="2" t="s">
        <v>134</v>
      </c>
      <c r="R47" s="2" t="s">
        <v>274</v>
      </c>
      <c r="S47" s="2" t="s">
        <v>378</v>
      </c>
      <c r="T47" s="3" t="s">
        <v>379</v>
      </c>
      <c r="U47" s="3"/>
      <c r="V47" s="3" t="s">
        <v>380</v>
      </c>
      <c r="W47" s="3" t="s">
        <v>381</v>
      </c>
      <c r="X47" s="2" t="n">
        <v>12</v>
      </c>
      <c r="Y47" s="2" t="n">
        <v>4</v>
      </c>
      <c r="Z47" s="2" t="s">
        <v>47</v>
      </c>
      <c r="AA47" s="3"/>
      <c r="AB47" s="5"/>
      <c r="AC47" s="5"/>
      <c r="AD47" s="3"/>
      <c r="AE47" s="3"/>
    </row>
    <row r="48" customFormat="false" ht="60" hidden="false" customHeight="true" outlineLevel="0" collapsed="false">
      <c r="A48" s="2" t="s">
        <v>382</v>
      </c>
      <c r="B48" s="2" t="n">
        <v>2021</v>
      </c>
      <c r="C48" s="2" t="s">
        <v>160</v>
      </c>
      <c r="D48" s="2" t="s">
        <v>316</v>
      </c>
      <c r="E48" s="2" t="s">
        <v>104</v>
      </c>
      <c r="F48" s="2" t="n">
        <v>4</v>
      </c>
      <c r="G48" s="2" t="s">
        <v>52</v>
      </c>
      <c r="H48" s="2" t="s">
        <v>105</v>
      </c>
      <c r="I48" s="2" t="n">
        <v>12</v>
      </c>
      <c r="J48" s="2" t="n">
        <v>4</v>
      </c>
      <c r="K48" s="2" t="s">
        <v>85</v>
      </c>
      <c r="L48" s="2"/>
      <c r="M48" s="2"/>
      <c r="N48" s="2"/>
      <c r="O48" s="3"/>
      <c r="P48" s="2" t="s">
        <v>193</v>
      </c>
      <c r="Q48" s="2" t="s">
        <v>194</v>
      </c>
      <c r="R48" s="2" t="s">
        <v>383</v>
      </c>
      <c r="S48" s="2" t="s">
        <v>384</v>
      </c>
      <c r="T48" s="3" t="s">
        <v>385</v>
      </c>
      <c r="U48" s="3"/>
      <c r="V48" s="3" t="s">
        <v>386</v>
      </c>
      <c r="W48" s="3" t="s">
        <v>387</v>
      </c>
      <c r="X48" s="2" t="n">
        <v>13</v>
      </c>
      <c r="Y48" s="2" t="n">
        <v>4</v>
      </c>
      <c r="Z48" s="2" t="s">
        <v>47</v>
      </c>
      <c r="AA48" s="3"/>
      <c r="AB48" s="5"/>
      <c r="AC48" s="5"/>
      <c r="AD48" s="3"/>
      <c r="AE48" s="3"/>
    </row>
    <row r="49" customFormat="false" ht="60" hidden="false" customHeight="true" outlineLevel="0" collapsed="false">
      <c r="A49" s="2" t="s">
        <v>388</v>
      </c>
      <c r="B49" s="2" t="n">
        <v>2021</v>
      </c>
      <c r="C49" s="2" t="s">
        <v>389</v>
      </c>
      <c r="D49" s="2" t="s">
        <v>161</v>
      </c>
      <c r="E49" s="2" t="s">
        <v>34</v>
      </c>
      <c r="F49" s="2" t="n">
        <v>1</v>
      </c>
      <c r="G49" s="2" t="s">
        <v>35</v>
      </c>
      <c r="H49" s="2"/>
      <c r="I49" s="2" t="n">
        <v>2</v>
      </c>
      <c r="J49" s="2" t="n">
        <v>0</v>
      </c>
      <c r="K49" s="2" t="s">
        <v>64</v>
      </c>
      <c r="L49" s="2"/>
      <c r="M49" s="2"/>
      <c r="N49" s="2"/>
      <c r="O49" s="3"/>
      <c r="P49" s="2" t="s">
        <v>39</v>
      </c>
      <c r="Q49" s="2" t="s">
        <v>40</v>
      </c>
      <c r="R49" s="2" t="s">
        <v>41</v>
      </c>
      <c r="S49" s="2" t="s">
        <v>390</v>
      </c>
      <c r="T49" s="3" t="s">
        <v>391</v>
      </c>
      <c r="U49" s="3" t="s">
        <v>392</v>
      </c>
      <c r="V49" s="3" t="s">
        <v>393</v>
      </c>
      <c r="W49" s="3" t="s">
        <v>394</v>
      </c>
      <c r="X49" s="2" t="n">
        <v>5</v>
      </c>
      <c r="Y49" s="2" t="n">
        <v>3</v>
      </c>
      <c r="Z49" s="2" t="s">
        <v>47</v>
      </c>
      <c r="AA49" s="3"/>
      <c r="AB49" s="5"/>
      <c r="AC49" s="5"/>
      <c r="AD49" s="3"/>
      <c r="AE49" s="3" t="s">
        <v>395</v>
      </c>
    </row>
    <row r="50" customFormat="false" ht="60" hidden="false" customHeight="true" outlineLevel="0" collapsed="false">
      <c r="A50" s="2" t="s">
        <v>396</v>
      </c>
      <c r="B50" s="2" t="n">
        <v>2021</v>
      </c>
      <c r="C50" s="2" t="s">
        <v>389</v>
      </c>
      <c r="D50" s="2" t="s">
        <v>161</v>
      </c>
      <c r="E50" s="2" t="s">
        <v>34</v>
      </c>
      <c r="F50" s="2" t="n">
        <v>1</v>
      </c>
      <c r="G50" s="2" t="s">
        <v>52</v>
      </c>
      <c r="H50" s="2"/>
      <c r="I50" s="2" t="n">
        <v>4</v>
      </c>
      <c r="J50" s="2" t="n">
        <v>0</v>
      </c>
      <c r="K50" s="2" t="s">
        <v>64</v>
      </c>
      <c r="L50" s="2"/>
      <c r="M50" s="2" t="s">
        <v>37</v>
      </c>
      <c r="N50" s="2"/>
      <c r="O50" s="3" t="s">
        <v>73</v>
      </c>
      <c r="P50" s="2" t="s">
        <v>39</v>
      </c>
      <c r="Q50" s="2" t="s">
        <v>40</v>
      </c>
      <c r="R50" s="2" t="s">
        <v>397</v>
      </c>
      <c r="S50" s="2" t="s">
        <v>398</v>
      </c>
      <c r="T50" s="3" t="s">
        <v>399</v>
      </c>
      <c r="U50" s="3" t="s">
        <v>392</v>
      </c>
      <c r="V50" s="3" t="s">
        <v>400</v>
      </c>
      <c r="W50" s="3" t="s">
        <v>401</v>
      </c>
      <c r="X50" s="2" t="n">
        <v>5</v>
      </c>
      <c r="Y50" s="2" t="n">
        <v>3</v>
      </c>
      <c r="Z50" s="2" t="s">
        <v>47</v>
      </c>
      <c r="AA50" s="3"/>
      <c r="AB50" s="5"/>
      <c r="AC50" s="5"/>
      <c r="AD50" s="3"/>
      <c r="AE50" s="3" t="s">
        <v>402</v>
      </c>
    </row>
    <row r="51" customFormat="false" ht="60" hidden="false" customHeight="true" outlineLevel="0" collapsed="false">
      <c r="A51" s="2" t="s">
        <v>403</v>
      </c>
      <c r="B51" s="2" t="n">
        <v>2021</v>
      </c>
      <c r="C51" s="2" t="s">
        <v>389</v>
      </c>
      <c r="D51" s="2" t="s">
        <v>161</v>
      </c>
      <c r="E51" s="2" t="s">
        <v>34</v>
      </c>
      <c r="F51" s="2" t="n">
        <v>1</v>
      </c>
      <c r="G51" s="2" t="s">
        <v>63</v>
      </c>
      <c r="H51" s="2"/>
      <c r="I51" s="2" t="n">
        <v>2</v>
      </c>
      <c r="J51" s="2" t="n">
        <v>0</v>
      </c>
      <c r="K51" s="2" t="s">
        <v>64</v>
      </c>
      <c r="L51" s="2"/>
      <c r="M51" s="2"/>
      <c r="N51" s="2"/>
      <c r="O51" s="3"/>
      <c r="P51" s="2" t="s">
        <v>39</v>
      </c>
      <c r="Q51" s="2" t="s">
        <v>40</v>
      </c>
      <c r="R51" s="2" t="s">
        <v>404</v>
      </c>
      <c r="S51" s="2" t="s">
        <v>405</v>
      </c>
      <c r="T51" s="3" t="s">
        <v>406</v>
      </c>
      <c r="U51" s="3" t="s">
        <v>392</v>
      </c>
      <c r="V51" s="3" t="s">
        <v>407</v>
      </c>
      <c r="W51" s="3" t="s">
        <v>408</v>
      </c>
      <c r="X51" s="2" t="n">
        <v>5</v>
      </c>
      <c r="Y51" s="2" t="n">
        <v>3</v>
      </c>
      <c r="Z51" s="2" t="s">
        <v>47</v>
      </c>
      <c r="AA51" s="4" t="s">
        <v>409</v>
      </c>
      <c r="AB51" s="5"/>
      <c r="AC51" s="5"/>
      <c r="AD51" s="3"/>
      <c r="AE51" s="3" t="s">
        <v>410</v>
      </c>
    </row>
    <row r="52" customFormat="false" ht="60" hidden="false" customHeight="true" outlineLevel="0" collapsed="false">
      <c r="A52" s="2" t="s">
        <v>411</v>
      </c>
      <c r="B52" s="2" t="n">
        <v>2021</v>
      </c>
      <c r="C52" s="2" t="s">
        <v>389</v>
      </c>
      <c r="D52" s="2" t="s">
        <v>161</v>
      </c>
      <c r="E52" s="2" t="s">
        <v>34</v>
      </c>
      <c r="F52" s="2" t="n">
        <v>1</v>
      </c>
      <c r="G52" s="2" t="s">
        <v>72</v>
      </c>
      <c r="H52" s="2"/>
      <c r="I52" s="2" t="n">
        <v>6</v>
      </c>
      <c r="J52" s="2" t="n">
        <v>1</v>
      </c>
      <c r="K52" s="2" t="s">
        <v>85</v>
      </c>
      <c r="L52" s="2"/>
      <c r="M52" s="2"/>
      <c r="N52" s="2"/>
      <c r="O52" s="3"/>
      <c r="P52" s="2" t="s">
        <v>87</v>
      </c>
      <c r="Q52" s="2" t="s">
        <v>88</v>
      </c>
      <c r="R52" s="2" t="s">
        <v>412</v>
      </c>
      <c r="S52" s="2" t="s">
        <v>413</v>
      </c>
      <c r="T52" s="3" t="s">
        <v>414</v>
      </c>
      <c r="U52" s="3" t="s">
        <v>392</v>
      </c>
      <c r="V52" s="3" t="s">
        <v>415</v>
      </c>
      <c r="W52" s="3" t="s">
        <v>416</v>
      </c>
      <c r="X52" s="2" t="n">
        <v>6</v>
      </c>
      <c r="Y52" s="2" t="n">
        <v>3</v>
      </c>
      <c r="Z52" s="2" t="s">
        <v>47</v>
      </c>
      <c r="AA52" s="3"/>
      <c r="AB52" s="5"/>
      <c r="AC52" s="5"/>
      <c r="AD52" s="3"/>
      <c r="AE52" s="3" t="s">
        <v>417</v>
      </c>
    </row>
    <row r="53" customFormat="false" ht="60" hidden="false" customHeight="true" outlineLevel="0" collapsed="false">
      <c r="A53" s="2" t="s">
        <v>418</v>
      </c>
      <c r="B53" s="2" t="n">
        <v>2021</v>
      </c>
      <c r="C53" s="2" t="s">
        <v>389</v>
      </c>
      <c r="D53" s="2" t="s">
        <v>161</v>
      </c>
      <c r="E53" s="2" t="s">
        <v>34</v>
      </c>
      <c r="F53" s="2" t="n">
        <v>1</v>
      </c>
      <c r="G53" s="2" t="s">
        <v>84</v>
      </c>
      <c r="H53" s="2"/>
      <c r="I53" s="2" t="n">
        <v>6</v>
      </c>
      <c r="J53" s="2" t="n">
        <v>1</v>
      </c>
      <c r="K53" s="2" t="s">
        <v>85</v>
      </c>
      <c r="L53" s="2"/>
      <c r="M53" s="2"/>
      <c r="N53" s="2"/>
      <c r="O53" s="3"/>
      <c r="P53" s="2" t="s">
        <v>39</v>
      </c>
      <c r="Q53" s="2" t="s">
        <v>40</v>
      </c>
      <c r="R53" s="2" t="s">
        <v>419</v>
      </c>
      <c r="S53" s="2" t="s">
        <v>405</v>
      </c>
      <c r="T53" s="3" t="s">
        <v>420</v>
      </c>
      <c r="U53" s="3" t="s">
        <v>392</v>
      </c>
      <c r="V53" s="3" t="s">
        <v>421</v>
      </c>
      <c r="W53" s="3" t="s">
        <v>422</v>
      </c>
      <c r="X53" s="2" t="n">
        <v>7</v>
      </c>
      <c r="Y53" s="2" t="n">
        <v>3</v>
      </c>
      <c r="Z53" s="2" t="s">
        <v>47</v>
      </c>
      <c r="AA53" s="3"/>
      <c r="AB53" s="5"/>
      <c r="AC53" s="5"/>
      <c r="AD53" s="3"/>
      <c r="AE53" s="3" t="s">
        <v>423</v>
      </c>
    </row>
    <row r="54" customFormat="false" ht="60" hidden="false" customHeight="true" outlineLevel="0" collapsed="false">
      <c r="A54" s="2" t="s">
        <v>424</v>
      </c>
      <c r="B54" s="2" t="n">
        <v>2021</v>
      </c>
      <c r="C54" s="2" t="s">
        <v>389</v>
      </c>
      <c r="D54" s="2" t="s">
        <v>161</v>
      </c>
      <c r="E54" s="2" t="s">
        <v>104</v>
      </c>
      <c r="F54" s="2" t="n">
        <v>2</v>
      </c>
      <c r="G54" s="2" t="s">
        <v>35</v>
      </c>
      <c r="H54" s="2" t="s">
        <v>105</v>
      </c>
      <c r="I54" s="2" t="n">
        <v>8</v>
      </c>
      <c r="J54" s="2" t="n">
        <v>0</v>
      </c>
      <c r="K54" s="2" t="s">
        <v>252</v>
      </c>
      <c r="L54" s="2"/>
      <c r="M54" s="2" t="s">
        <v>37</v>
      </c>
      <c r="N54" s="2"/>
      <c r="O54" s="3" t="s">
        <v>73</v>
      </c>
      <c r="P54" s="2" t="s">
        <v>106</v>
      </c>
      <c r="Q54" s="2" t="s">
        <v>107</v>
      </c>
      <c r="R54" s="2" t="s">
        <v>425</v>
      </c>
      <c r="S54" s="2" t="s">
        <v>426</v>
      </c>
      <c r="T54" s="3" t="s">
        <v>427</v>
      </c>
      <c r="U54" s="3"/>
      <c r="V54" s="3" t="s">
        <v>428</v>
      </c>
      <c r="W54" s="3" t="s">
        <v>429</v>
      </c>
      <c r="X54" s="2" t="n">
        <v>8</v>
      </c>
      <c r="Y54" s="2" t="n">
        <v>3</v>
      </c>
      <c r="Z54" s="2" t="s">
        <v>47</v>
      </c>
      <c r="AA54" s="3"/>
      <c r="AB54" s="5"/>
      <c r="AC54" s="5"/>
      <c r="AD54" s="3"/>
      <c r="AE54" s="3" t="s">
        <v>430</v>
      </c>
    </row>
    <row r="55" customFormat="false" ht="60" hidden="false" customHeight="true" outlineLevel="0" collapsed="false">
      <c r="A55" s="2" t="s">
        <v>431</v>
      </c>
      <c r="B55" s="2" t="n">
        <v>2021</v>
      </c>
      <c r="C55" s="2" t="s">
        <v>389</v>
      </c>
      <c r="D55" s="2" t="s">
        <v>161</v>
      </c>
      <c r="E55" s="2" t="s">
        <v>104</v>
      </c>
      <c r="F55" s="2" t="n">
        <v>2</v>
      </c>
      <c r="G55" s="2" t="s">
        <v>52</v>
      </c>
      <c r="H55" s="2" t="s">
        <v>105</v>
      </c>
      <c r="I55" s="2" t="n">
        <v>12</v>
      </c>
      <c r="J55" s="2" t="n">
        <v>4</v>
      </c>
      <c r="K55" s="2" t="s">
        <v>85</v>
      </c>
      <c r="L55" s="2"/>
      <c r="M55" s="2"/>
      <c r="N55" s="2"/>
      <c r="O55" s="3" t="s">
        <v>432</v>
      </c>
      <c r="P55" s="2" t="s">
        <v>433</v>
      </c>
      <c r="Q55" s="2" t="s">
        <v>434</v>
      </c>
      <c r="R55" s="2" t="s">
        <v>435</v>
      </c>
      <c r="S55" s="2" t="s">
        <v>436</v>
      </c>
      <c r="T55" s="3" t="s">
        <v>437</v>
      </c>
      <c r="U55" s="3"/>
      <c r="V55" s="3" t="s">
        <v>438</v>
      </c>
      <c r="W55" s="3" t="s">
        <v>439</v>
      </c>
      <c r="X55" s="2" t="n">
        <v>9</v>
      </c>
      <c r="Y55" s="2" t="n">
        <v>3</v>
      </c>
      <c r="Z55" s="2" t="s">
        <v>47</v>
      </c>
      <c r="AA55" s="3"/>
      <c r="AB55" s="5"/>
      <c r="AC55" s="5"/>
      <c r="AD55" s="3" t="s">
        <v>440</v>
      </c>
      <c r="AE55" s="3" t="s">
        <v>441</v>
      </c>
    </row>
    <row r="56" customFormat="false" ht="60" hidden="false" customHeight="true" outlineLevel="0" collapsed="false">
      <c r="A56" s="2" t="s">
        <v>442</v>
      </c>
      <c r="B56" s="2" t="n">
        <v>2021</v>
      </c>
      <c r="C56" s="2" t="s">
        <v>389</v>
      </c>
      <c r="D56" s="2" t="s">
        <v>161</v>
      </c>
      <c r="E56" s="2" t="s">
        <v>104</v>
      </c>
      <c r="F56" s="2" t="n">
        <v>3</v>
      </c>
      <c r="G56" s="2" t="s">
        <v>35</v>
      </c>
      <c r="H56" s="2" t="s">
        <v>105</v>
      </c>
      <c r="I56" s="2" t="n">
        <v>8</v>
      </c>
      <c r="J56" s="2" t="n">
        <v>0</v>
      </c>
      <c r="K56" s="2" t="s">
        <v>64</v>
      </c>
      <c r="L56" s="2"/>
      <c r="M56" s="2" t="s">
        <v>37</v>
      </c>
      <c r="N56" s="2"/>
      <c r="O56" s="3" t="s">
        <v>73</v>
      </c>
      <c r="P56" s="2" t="s">
        <v>151</v>
      </c>
      <c r="Q56" s="2" t="s">
        <v>152</v>
      </c>
      <c r="R56" s="2" t="s">
        <v>443</v>
      </c>
      <c r="S56" s="2" t="s">
        <v>444</v>
      </c>
      <c r="T56" s="3" t="s">
        <v>445</v>
      </c>
      <c r="U56" s="3"/>
      <c r="V56" s="3" t="s">
        <v>446</v>
      </c>
      <c r="W56" s="3" t="s">
        <v>447</v>
      </c>
      <c r="X56" s="2" t="n">
        <v>10</v>
      </c>
      <c r="Y56" s="2" t="n">
        <v>3</v>
      </c>
      <c r="Z56" s="2" t="s">
        <v>47</v>
      </c>
      <c r="AA56" s="3"/>
      <c r="AB56" s="5"/>
      <c r="AC56" s="5"/>
      <c r="AD56" s="3" t="s">
        <v>448</v>
      </c>
      <c r="AE56" s="3" t="s">
        <v>449</v>
      </c>
    </row>
    <row r="57" customFormat="false" ht="60" hidden="false" customHeight="true" outlineLevel="0" collapsed="false">
      <c r="A57" s="2" t="s">
        <v>450</v>
      </c>
      <c r="B57" s="2" t="n">
        <v>2021</v>
      </c>
      <c r="C57" s="2" t="s">
        <v>389</v>
      </c>
      <c r="D57" s="2" t="s">
        <v>161</v>
      </c>
      <c r="E57" s="2" t="s">
        <v>104</v>
      </c>
      <c r="F57" s="2" t="n">
        <v>3</v>
      </c>
      <c r="G57" s="2" t="s">
        <v>52</v>
      </c>
      <c r="H57" s="2" t="s">
        <v>105</v>
      </c>
      <c r="I57" s="2" t="n">
        <v>12</v>
      </c>
      <c r="J57" s="2" t="n">
        <v>4</v>
      </c>
      <c r="K57" s="2" t="s">
        <v>85</v>
      </c>
      <c r="L57" s="2"/>
      <c r="M57" s="2"/>
      <c r="N57" s="2"/>
      <c r="O57" s="3" t="s">
        <v>308</v>
      </c>
      <c r="P57" s="2" t="s">
        <v>124</v>
      </c>
      <c r="Q57" s="2" t="s">
        <v>125</v>
      </c>
      <c r="R57" s="2" t="s">
        <v>451</v>
      </c>
      <c r="S57" s="2" t="s">
        <v>452</v>
      </c>
      <c r="T57" s="3" t="s">
        <v>453</v>
      </c>
      <c r="U57" s="3"/>
      <c r="V57" s="3" t="s">
        <v>454</v>
      </c>
      <c r="W57" s="3" t="s">
        <v>455</v>
      </c>
      <c r="X57" s="2" t="n">
        <v>11</v>
      </c>
      <c r="Y57" s="2" t="n">
        <v>3</v>
      </c>
      <c r="Z57" s="2" t="s">
        <v>47</v>
      </c>
      <c r="AA57" s="3"/>
      <c r="AB57" s="5"/>
      <c r="AC57" s="5"/>
      <c r="AD57" s="3" t="s">
        <v>456</v>
      </c>
      <c r="AE57" s="3" t="s">
        <v>457</v>
      </c>
    </row>
    <row r="58" customFormat="false" ht="60" hidden="false" customHeight="true" outlineLevel="0" collapsed="false">
      <c r="A58" s="2" t="s">
        <v>458</v>
      </c>
      <c r="B58" s="2" t="n">
        <v>2021</v>
      </c>
      <c r="C58" s="2" t="s">
        <v>389</v>
      </c>
      <c r="D58" s="2" t="s">
        <v>161</v>
      </c>
      <c r="E58" s="2" t="s">
        <v>104</v>
      </c>
      <c r="F58" s="2" t="n">
        <v>4</v>
      </c>
      <c r="G58" s="2" t="s">
        <v>35</v>
      </c>
      <c r="H58" s="2" t="s">
        <v>105</v>
      </c>
      <c r="I58" s="2" t="n">
        <v>8</v>
      </c>
      <c r="J58" s="2" t="n">
        <v>0</v>
      </c>
      <c r="K58" s="2" t="s">
        <v>64</v>
      </c>
      <c r="L58" s="2"/>
      <c r="M58" s="2" t="s">
        <v>37</v>
      </c>
      <c r="N58" s="2"/>
      <c r="O58" s="3" t="s">
        <v>73</v>
      </c>
      <c r="P58" s="2" t="s">
        <v>74</v>
      </c>
      <c r="Q58" s="2" t="s">
        <v>75</v>
      </c>
      <c r="R58" s="2" t="s">
        <v>459</v>
      </c>
      <c r="S58" s="2" t="s">
        <v>460</v>
      </c>
      <c r="T58" s="3" t="s">
        <v>461</v>
      </c>
      <c r="U58" s="3"/>
      <c r="V58" s="3" t="s">
        <v>462</v>
      </c>
      <c r="W58" s="3" t="s">
        <v>463</v>
      </c>
      <c r="X58" s="2" t="n">
        <v>12</v>
      </c>
      <c r="Y58" s="2" t="n">
        <v>3</v>
      </c>
      <c r="Z58" s="2" t="s">
        <v>47</v>
      </c>
      <c r="AA58" s="3"/>
      <c r="AB58" s="5"/>
      <c r="AC58" s="5"/>
      <c r="AD58" s="3"/>
      <c r="AE58" s="3" t="s">
        <v>464</v>
      </c>
    </row>
    <row r="59" customFormat="false" ht="60" hidden="false" customHeight="true" outlineLevel="0" collapsed="false">
      <c r="A59" s="2" t="s">
        <v>465</v>
      </c>
      <c r="B59" s="2" t="n">
        <v>2021</v>
      </c>
      <c r="C59" s="2" t="s">
        <v>389</v>
      </c>
      <c r="D59" s="2" t="s">
        <v>161</v>
      </c>
      <c r="E59" s="2" t="s">
        <v>104</v>
      </c>
      <c r="F59" s="2" t="n">
        <v>4</v>
      </c>
      <c r="G59" s="2" t="s">
        <v>52</v>
      </c>
      <c r="H59" s="2" t="s">
        <v>105</v>
      </c>
      <c r="I59" s="2" t="n">
        <v>12</v>
      </c>
      <c r="J59" s="2" t="n">
        <v>4</v>
      </c>
      <c r="K59" s="2" t="s">
        <v>85</v>
      </c>
      <c r="L59" s="2"/>
      <c r="M59" s="2"/>
      <c r="N59" s="2"/>
      <c r="O59" s="3"/>
      <c r="P59" s="2" t="s">
        <v>466</v>
      </c>
      <c r="Q59" s="2" t="s">
        <v>467</v>
      </c>
      <c r="R59" s="2" t="s">
        <v>468</v>
      </c>
      <c r="S59" s="2" t="s">
        <v>469</v>
      </c>
      <c r="T59" s="3" t="s">
        <v>470</v>
      </c>
      <c r="U59" s="3"/>
      <c r="V59" s="3" t="s">
        <v>471</v>
      </c>
      <c r="W59" s="3" t="s">
        <v>472</v>
      </c>
      <c r="X59" s="2" t="n">
        <v>13</v>
      </c>
      <c r="Y59" s="2" t="n">
        <v>3</v>
      </c>
      <c r="Z59" s="2" t="s">
        <v>47</v>
      </c>
      <c r="AA59" s="3"/>
      <c r="AB59" s="5"/>
      <c r="AC59" s="5"/>
      <c r="AD59" s="3" t="s">
        <v>473</v>
      </c>
      <c r="AE59" s="3" t="s">
        <v>474</v>
      </c>
    </row>
    <row r="60" customFormat="false" ht="60" hidden="false" customHeight="true" outlineLevel="0" collapsed="false">
      <c r="A60" s="2" t="s">
        <v>475</v>
      </c>
      <c r="B60" s="2" t="n">
        <v>2021</v>
      </c>
      <c r="C60" s="2" t="s">
        <v>389</v>
      </c>
      <c r="D60" s="2" t="s">
        <v>33</v>
      </c>
      <c r="E60" s="2" t="s">
        <v>34</v>
      </c>
      <c r="F60" s="2" t="n">
        <v>1</v>
      </c>
      <c r="G60" s="2" t="s">
        <v>35</v>
      </c>
      <c r="H60" s="2"/>
      <c r="I60" s="2" t="n">
        <v>1</v>
      </c>
      <c r="J60" s="2" t="n">
        <v>0</v>
      </c>
      <c r="K60" s="2" t="s">
        <v>36</v>
      </c>
      <c r="L60" s="2"/>
      <c r="M60" s="2"/>
      <c r="N60" s="2" t="s">
        <v>37</v>
      </c>
      <c r="O60" s="3" t="s">
        <v>38</v>
      </c>
      <c r="P60" s="2" t="s">
        <v>201</v>
      </c>
      <c r="Q60" s="2" t="s">
        <v>202</v>
      </c>
      <c r="R60" s="2" t="s">
        <v>203</v>
      </c>
      <c r="S60" s="2" t="s">
        <v>476</v>
      </c>
      <c r="T60" s="3" t="s">
        <v>477</v>
      </c>
      <c r="U60" s="3" t="s">
        <v>478</v>
      </c>
      <c r="V60" s="3" t="s">
        <v>479</v>
      </c>
      <c r="W60" s="3" t="s">
        <v>480</v>
      </c>
      <c r="X60" s="2" t="n">
        <v>6</v>
      </c>
      <c r="Y60" s="2" t="n">
        <v>3</v>
      </c>
      <c r="Z60" s="2" t="s">
        <v>47</v>
      </c>
      <c r="AA60" s="3"/>
      <c r="AB60" s="5"/>
      <c r="AC60" s="5"/>
      <c r="AD60" s="3"/>
      <c r="AE60" s="3" t="s">
        <v>481</v>
      </c>
    </row>
    <row r="61" customFormat="false" ht="60" hidden="false" customHeight="true" outlineLevel="0" collapsed="false">
      <c r="A61" s="2" t="s">
        <v>482</v>
      </c>
      <c r="B61" s="2" t="n">
        <v>2021</v>
      </c>
      <c r="C61" s="2" t="s">
        <v>389</v>
      </c>
      <c r="D61" s="2" t="s">
        <v>33</v>
      </c>
      <c r="E61" s="2" t="s">
        <v>34</v>
      </c>
      <c r="F61" s="2" t="n">
        <v>1</v>
      </c>
      <c r="G61" s="2" t="s">
        <v>483</v>
      </c>
      <c r="H61" s="2"/>
      <c r="I61" s="2" t="n">
        <v>2</v>
      </c>
      <c r="J61" s="2" t="n">
        <v>0</v>
      </c>
      <c r="K61" s="2" t="s">
        <v>64</v>
      </c>
      <c r="L61" s="2"/>
      <c r="M61" s="2"/>
      <c r="N61" s="2"/>
      <c r="O61" s="3"/>
      <c r="P61" s="2" t="s">
        <v>124</v>
      </c>
      <c r="Q61" s="2" t="s">
        <v>125</v>
      </c>
      <c r="R61" s="2" t="s">
        <v>126</v>
      </c>
      <c r="S61" s="2" t="s">
        <v>484</v>
      </c>
      <c r="T61" s="3" t="s">
        <v>485</v>
      </c>
      <c r="U61" s="3" t="s">
        <v>478</v>
      </c>
      <c r="V61" s="3" t="s">
        <v>486</v>
      </c>
      <c r="W61" s="3" t="s">
        <v>487</v>
      </c>
      <c r="X61" s="2" t="n">
        <v>6</v>
      </c>
      <c r="Y61" s="2" t="n">
        <v>3</v>
      </c>
      <c r="Z61" s="2" t="s">
        <v>47</v>
      </c>
      <c r="AA61" s="3"/>
      <c r="AB61" s="5"/>
      <c r="AC61" s="5"/>
      <c r="AD61" s="3"/>
      <c r="AE61" s="3" t="s">
        <v>488</v>
      </c>
    </row>
    <row r="62" customFormat="false" ht="60" hidden="false" customHeight="true" outlineLevel="0" collapsed="false">
      <c r="A62" s="2" t="s">
        <v>489</v>
      </c>
      <c r="B62" s="2" t="n">
        <v>2021</v>
      </c>
      <c r="C62" s="2" t="s">
        <v>389</v>
      </c>
      <c r="D62" s="2" t="s">
        <v>33</v>
      </c>
      <c r="E62" s="2" t="s">
        <v>34</v>
      </c>
      <c r="F62" s="2" t="n">
        <v>1</v>
      </c>
      <c r="G62" s="2" t="s">
        <v>490</v>
      </c>
      <c r="H62" s="2"/>
      <c r="I62" s="2" t="n">
        <v>2</v>
      </c>
      <c r="J62" s="2" t="n">
        <v>0</v>
      </c>
      <c r="K62" s="2" t="s">
        <v>64</v>
      </c>
      <c r="L62" s="2"/>
      <c r="M62" s="2"/>
      <c r="N62" s="2"/>
      <c r="O62" s="3"/>
      <c r="P62" s="2" t="s">
        <v>124</v>
      </c>
      <c r="Q62" s="2" t="s">
        <v>125</v>
      </c>
      <c r="R62" s="2" t="s">
        <v>126</v>
      </c>
      <c r="S62" s="2" t="s">
        <v>491</v>
      </c>
      <c r="T62" s="3" t="s">
        <v>492</v>
      </c>
      <c r="U62" s="3" t="s">
        <v>478</v>
      </c>
      <c r="V62" s="3" t="s">
        <v>493</v>
      </c>
      <c r="W62" s="3" t="s">
        <v>494</v>
      </c>
      <c r="X62" s="2" t="n">
        <v>6</v>
      </c>
      <c r="Y62" s="2" t="n">
        <v>3</v>
      </c>
      <c r="Z62" s="2" t="s">
        <v>47</v>
      </c>
      <c r="AA62" s="3"/>
      <c r="AB62" s="5"/>
      <c r="AC62" s="5"/>
      <c r="AD62" s="3"/>
      <c r="AE62" s="3" t="s">
        <v>495</v>
      </c>
    </row>
    <row r="63" customFormat="false" ht="60" hidden="false" customHeight="true" outlineLevel="0" collapsed="false">
      <c r="A63" s="2" t="s">
        <v>496</v>
      </c>
      <c r="B63" s="2" t="n">
        <v>2021</v>
      </c>
      <c r="C63" s="2" t="s">
        <v>389</v>
      </c>
      <c r="D63" s="2" t="s">
        <v>33</v>
      </c>
      <c r="E63" s="2" t="s">
        <v>34</v>
      </c>
      <c r="F63" s="2" t="n">
        <v>1</v>
      </c>
      <c r="G63" s="2" t="s">
        <v>63</v>
      </c>
      <c r="H63" s="2"/>
      <c r="I63" s="2" t="n">
        <v>3</v>
      </c>
      <c r="J63" s="2" t="n">
        <v>0</v>
      </c>
      <c r="K63" s="2" t="s">
        <v>53</v>
      </c>
      <c r="L63" s="2" t="s">
        <v>64</v>
      </c>
      <c r="M63" s="2"/>
      <c r="N63" s="2"/>
      <c r="O63" s="3"/>
      <c r="P63" s="2" t="s">
        <v>115</v>
      </c>
      <c r="Q63" s="2" t="s">
        <v>116</v>
      </c>
      <c r="R63" s="2" t="s">
        <v>497</v>
      </c>
      <c r="S63" s="2" t="s">
        <v>498</v>
      </c>
      <c r="T63" s="3" t="s">
        <v>499</v>
      </c>
      <c r="U63" s="3" t="s">
        <v>478</v>
      </c>
      <c r="V63" s="3" t="s">
        <v>500</v>
      </c>
      <c r="W63" s="3" t="s">
        <v>501</v>
      </c>
      <c r="X63" s="2" t="n">
        <v>7</v>
      </c>
      <c r="Y63" s="2" t="n">
        <v>3</v>
      </c>
      <c r="Z63" s="2" t="s">
        <v>47</v>
      </c>
      <c r="AA63" s="3"/>
      <c r="AB63" s="5"/>
      <c r="AC63" s="5"/>
      <c r="AD63" s="3"/>
      <c r="AE63" s="3" t="s">
        <v>502</v>
      </c>
    </row>
    <row r="64" customFormat="false" ht="60" hidden="false" customHeight="true" outlineLevel="0" collapsed="false">
      <c r="A64" s="2" t="s">
        <v>503</v>
      </c>
      <c r="B64" s="2" t="n">
        <v>2021</v>
      </c>
      <c r="C64" s="2" t="s">
        <v>389</v>
      </c>
      <c r="D64" s="2" t="s">
        <v>33</v>
      </c>
      <c r="E64" s="2" t="s">
        <v>34</v>
      </c>
      <c r="F64" s="2" t="n">
        <v>1</v>
      </c>
      <c r="G64" s="2" t="s">
        <v>72</v>
      </c>
      <c r="H64" s="2"/>
      <c r="I64" s="2" t="n">
        <v>6</v>
      </c>
      <c r="J64" s="2" t="n">
        <v>1</v>
      </c>
      <c r="K64" s="2" t="s">
        <v>85</v>
      </c>
      <c r="L64" s="2"/>
      <c r="M64" s="2"/>
      <c r="N64" s="2"/>
      <c r="O64" s="3" t="s">
        <v>504</v>
      </c>
      <c r="P64" s="2" t="s">
        <v>87</v>
      </c>
      <c r="Q64" s="2" t="s">
        <v>88</v>
      </c>
      <c r="R64" s="2" t="s">
        <v>505</v>
      </c>
      <c r="S64" s="2" t="s">
        <v>506</v>
      </c>
      <c r="T64" s="3" t="s">
        <v>507</v>
      </c>
      <c r="U64" s="3" t="s">
        <v>478</v>
      </c>
      <c r="V64" s="3" t="s">
        <v>508</v>
      </c>
      <c r="W64" s="3" t="s">
        <v>509</v>
      </c>
      <c r="X64" s="2" t="n">
        <v>8</v>
      </c>
      <c r="Y64" s="2" t="n">
        <v>3</v>
      </c>
      <c r="Z64" s="2" t="s">
        <v>47</v>
      </c>
      <c r="AA64" s="3"/>
      <c r="AB64" s="5"/>
      <c r="AC64" s="5"/>
      <c r="AD64" s="3"/>
      <c r="AE64" s="3" t="s">
        <v>510</v>
      </c>
    </row>
    <row r="65" customFormat="false" ht="60" hidden="false" customHeight="true" outlineLevel="0" collapsed="false">
      <c r="A65" s="2" t="s">
        <v>511</v>
      </c>
      <c r="B65" s="2" t="n">
        <v>2021</v>
      </c>
      <c r="C65" s="2" t="s">
        <v>389</v>
      </c>
      <c r="D65" s="2" t="s">
        <v>33</v>
      </c>
      <c r="E65" s="2" t="s">
        <v>34</v>
      </c>
      <c r="F65" s="2" t="n">
        <v>1</v>
      </c>
      <c r="G65" s="2" t="s">
        <v>84</v>
      </c>
      <c r="H65" s="2"/>
      <c r="I65" s="2" t="n">
        <v>6</v>
      </c>
      <c r="J65" s="2" t="n">
        <v>1</v>
      </c>
      <c r="K65" s="2" t="s">
        <v>86</v>
      </c>
      <c r="L65" s="2"/>
      <c r="M65" s="2"/>
      <c r="N65" s="2"/>
      <c r="O65" s="3" t="s">
        <v>308</v>
      </c>
      <c r="P65" s="2" t="s">
        <v>209</v>
      </c>
      <c r="Q65" s="2" t="s">
        <v>210</v>
      </c>
      <c r="R65" s="2" t="s">
        <v>512</v>
      </c>
      <c r="S65" s="2" t="s">
        <v>513</v>
      </c>
      <c r="T65" s="3" t="s">
        <v>514</v>
      </c>
      <c r="U65" s="3" t="s">
        <v>478</v>
      </c>
      <c r="V65" s="3" t="s">
        <v>515</v>
      </c>
      <c r="W65" s="3" t="s">
        <v>516</v>
      </c>
      <c r="X65" s="2" t="n">
        <v>9</v>
      </c>
      <c r="Y65" s="2" t="n">
        <v>3</v>
      </c>
      <c r="Z65" s="2" t="s">
        <v>47</v>
      </c>
      <c r="AA65" s="3"/>
      <c r="AB65" s="5"/>
      <c r="AC65" s="5"/>
      <c r="AD65" s="3"/>
      <c r="AE65" s="3" t="s">
        <v>517</v>
      </c>
    </row>
    <row r="66" customFormat="false" ht="60" hidden="false" customHeight="true" outlineLevel="0" collapsed="false">
      <c r="A66" s="2" t="s">
        <v>518</v>
      </c>
      <c r="B66" s="2" t="n">
        <v>2021</v>
      </c>
      <c r="C66" s="2" t="s">
        <v>389</v>
      </c>
      <c r="D66" s="2" t="s">
        <v>33</v>
      </c>
      <c r="E66" s="2" t="s">
        <v>104</v>
      </c>
      <c r="F66" s="2" t="n">
        <v>2</v>
      </c>
      <c r="G66" s="2" t="s">
        <v>35</v>
      </c>
      <c r="H66" s="2" t="s">
        <v>105</v>
      </c>
      <c r="I66" s="2" t="n">
        <v>8</v>
      </c>
      <c r="J66" s="2" t="n">
        <v>0</v>
      </c>
      <c r="K66" s="2" t="s">
        <v>64</v>
      </c>
      <c r="L66" s="2"/>
      <c r="M66" s="2" t="s">
        <v>37</v>
      </c>
      <c r="N66" s="2"/>
      <c r="O66" s="3" t="s">
        <v>73</v>
      </c>
      <c r="P66" s="2" t="s">
        <v>106</v>
      </c>
      <c r="Q66" s="2" t="s">
        <v>107</v>
      </c>
      <c r="R66" s="2" t="s">
        <v>519</v>
      </c>
      <c r="S66" s="2" t="s">
        <v>520</v>
      </c>
      <c r="T66" s="3" t="s">
        <v>521</v>
      </c>
      <c r="U66" s="3"/>
      <c r="V66" s="3" t="s">
        <v>522</v>
      </c>
      <c r="W66" s="3" t="s">
        <v>523</v>
      </c>
      <c r="X66" s="2" t="n">
        <v>10</v>
      </c>
      <c r="Y66" s="2" t="n">
        <v>4</v>
      </c>
      <c r="Z66" s="2" t="s">
        <v>47</v>
      </c>
      <c r="AA66" s="3"/>
      <c r="AB66" s="5"/>
      <c r="AC66" s="5"/>
      <c r="AD66" s="3" t="s">
        <v>524</v>
      </c>
      <c r="AE66" s="3" t="s">
        <v>525</v>
      </c>
    </row>
    <row r="67" customFormat="false" ht="60" hidden="false" customHeight="true" outlineLevel="0" collapsed="false">
      <c r="A67" s="2" t="s">
        <v>526</v>
      </c>
      <c r="B67" s="2" t="n">
        <v>2021</v>
      </c>
      <c r="C67" s="2" t="s">
        <v>389</v>
      </c>
      <c r="D67" s="2" t="s">
        <v>33</v>
      </c>
      <c r="E67" s="2" t="s">
        <v>104</v>
      </c>
      <c r="F67" s="2" t="n">
        <v>2</v>
      </c>
      <c r="G67" s="2" t="s">
        <v>52</v>
      </c>
      <c r="H67" s="2" t="s">
        <v>105</v>
      </c>
      <c r="I67" s="2" t="n">
        <v>12</v>
      </c>
      <c r="J67" s="2" t="n">
        <v>4</v>
      </c>
      <c r="K67" s="2" t="s">
        <v>85</v>
      </c>
      <c r="L67" s="2"/>
      <c r="M67" s="2"/>
      <c r="N67" s="2"/>
      <c r="O67" s="3" t="s">
        <v>527</v>
      </c>
      <c r="P67" s="2" t="s">
        <v>193</v>
      </c>
      <c r="Q67" s="2" t="s">
        <v>194</v>
      </c>
      <c r="R67" s="2" t="s">
        <v>528</v>
      </c>
      <c r="S67" s="2" t="s">
        <v>529</v>
      </c>
      <c r="T67" s="3" t="s">
        <v>530</v>
      </c>
      <c r="U67" s="3"/>
      <c r="V67" s="3" t="s">
        <v>531</v>
      </c>
      <c r="W67" s="3" t="s">
        <v>532</v>
      </c>
      <c r="X67" s="2" t="n">
        <v>11</v>
      </c>
      <c r="Y67" s="2" t="n">
        <v>4</v>
      </c>
      <c r="Z67" s="2" t="s">
        <v>47</v>
      </c>
      <c r="AA67" s="3"/>
      <c r="AB67" s="5"/>
      <c r="AC67" s="5"/>
      <c r="AD67" s="3"/>
      <c r="AE67" s="3" t="s">
        <v>533</v>
      </c>
    </row>
    <row r="68" customFormat="false" ht="60" hidden="false" customHeight="true" outlineLevel="0" collapsed="false">
      <c r="A68" s="2" t="s">
        <v>534</v>
      </c>
      <c r="B68" s="2" t="n">
        <v>2021</v>
      </c>
      <c r="C68" s="2" t="s">
        <v>389</v>
      </c>
      <c r="D68" s="2" t="s">
        <v>33</v>
      </c>
      <c r="E68" s="2" t="s">
        <v>104</v>
      </c>
      <c r="F68" s="2" t="n">
        <v>3</v>
      </c>
      <c r="G68" s="2" t="s">
        <v>35</v>
      </c>
      <c r="H68" s="2" t="s">
        <v>105</v>
      </c>
      <c r="I68" s="2" t="n">
        <v>8</v>
      </c>
      <c r="J68" s="2" t="n">
        <v>0</v>
      </c>
      <c r="K68" s="2" t="s">
        <v>64</v>
      </c>
      <c r="L68" s="2"/>
      <c r="M68" s="2" t="s">
        <v>37</v>
      </c>
      <c r="N68" s="2"/>
      <c r="O68" s="3" t="s">
        <v>73</v>
      </c>
      <c r="P68" s="2" t="s">
        <v>224</v>
      </c>
      <c r="Q68" s="2" t="s">
        <v>225</v>
      </c>
      <c r="R68" s="2" t="s">
        <v>535</v>
      </c>
      <c r="S68" s="2" t="s">
        <v>536</v>
      </c>
      <c r="T68" s="3" t="s">
        <v>537</v>
      </c>
      <c r="U68" s="3"/>
      <c r="V68" s="3" t="s">
        <v>538</v>
      </c>
      <c r="W68" s="3" t="s">
        <v>539</v>
      </c>
      <c r="X68" s="2" t="n">
        <v>12</v>
      </c>
      <c r="Y68" s="2" t="n">
        <v>4</v>
      </c>
      <c r="Z68" s="2" t="s">
        <v>47</v>
      </c>
      <c r="AA68" s="3"/>
      <c r="AB68" s="5"/>
      <c r="AC68" s="5"/>
      <c r="AD68" s="3"/>
      <c r="AE68" s="3" t="s">
        <v>540</v>
      </c>
    </row>
    <row r="69" customFormat="false" ht="60" hidden="false" customHeight="true" outlineLevel="0" collapsed="false">
      <c r="A69" s="2" t="s">
        <v>541</v>
      </c>
      <c r="B69" s="2" t="n">
        <v>2021</v>
      </c>
      <c r="C69" s="2" t="s">
        <v>389</v>
      </c>
      <c r="D69" s="2" t="s">
        <v>33</v>
      </c>
      <c r="E69" s="2" t="s">
        <v>104</v>
      </c>
      <c r="F69" s="2" t="n">
        <v>3</v>
      </c>
      <c r="G69" s="2" t="s">
        <v>52</v>
      </c>
      <c r="H69" s="2" t="s">
        <v>105</v>
      </c>
      <c r="I69" s="2" t="n">
        <v>12</v>
      </c>
      <c r="J69" s="2" t="n">
        <v>4</v>
      </c>
      <c r="K69" s="2" t="s">
        <v>85</v>
      </c>
      <c r="L69" s="2"/>
      <c r="M69" s="2"/>
      <c r="N69" s="2"/>
      <c r="O69" s="3" t="s">
        <v>308</v>
      </c>
      <c r="P69" s="2" t="s">
        <v>151</v>
      </c>
      <c r="Q69" s="2" t="s">
        <v>152</v>
      </c>
      <c r="R69" s="2" t="s">
        <v>542</v>
      </c>
      <c r="S69" s="2" t="s">
        <v>543</v>
      </c>
      <c r="T69" s="3" t="s">
        <v>544</v>
      </c>
      <c r="U69" s="3"/>
      <c r="V69" s="3" t="s">
        <v>545</v>
      </c>
      <c r="W69" s="3" t="s">
        <v>546</v>
      </c>
      <c r="X69" s="2" t="n">
        <v>13</v>
      </c>
      <c r="Y69" s="2" t="n">
        <v>4</v>
      </c>
      <c r="Z69" s="2" t="s">
        <v>47</v>
      </c>
      <c r="AA69" s="3"/>
      <c r="AB69" s="5"/>
      <c r="AC69" s="5"/>
      <c r="AD69" s="3"/>
      <c r="AE69" s="3" t="s">
        <v>547</v>
      </c>
    </row>
    <row r="70" customFormat="false" ht="60" hidden="false" customHeight="true" outlineLevel="0" collapsed="false">
      <c r="A70" s="2" t="s">
        <v>548</v>
      </c>
      <c r="B70" s="2" t="n">
        <v>2021</v>
      </c>
      <c r="C70" s="2" t="s">
        <v>389</v>
      </c>
      <c r="D70" s="2" t="s">
        <v>33</v>
      </c>
      <c r="E70" s="2" t="s">
        <v>104</v>
      </c>
      <c r="F70" s="2" t="n">
        <v>4</v>
      </c>
      <c r="G70" s="2" t="s">
        <v>35</v>
      </c>
      <c r="H70" s="2" t="s">
        <v>105</v>
      </c>
      <c r="I70" s="2" t="n">
        <v>8</v>
      </c>
      <c r="J70" s="2" t="n">
        <v>0</v>
      </c>
      <c r="K70" s="2" t="s">
        <v>64</v>
      </c>
      <c r="L70" s="2"/>
      <c r="M70" s="2" t="s">
        <v>37</v>
      </c>
      <c r="N70" s="2"/>
      <c r="O70" s="3" t="s">
        <v>73</v>
      </c>
      <c r="P70" s="2" t="s">
        <v>39</v>
      </c>
      <c r="Q70" s="2" t="s">
        <v>40</v>
      </c>
      <c r="R70" s="2" t="s">
        <v>301</v>
      </c>
      <c r="S70" s="2" t="s">
        <v>549</v>
      </c>
      <c r="T70" s="3" t="s">
        <v>550</v>
      </c>
      <c r="U70" s="3"/>
      <c r="V70" s="3" t="s">
        <v>551</v>
      </c>
      <c r="W70" s="3" t="s">
        <v>552</v>
      </c>
      <c r="X70" s="2" t="n">
        <v>14</v>
      </c>
      <c r="Y70" s="2" t="n">
        <v>4</v>
      </c>
      <c r="Z70" s="2" t="s">
        <v>47</v>
      </c>
      <c r="AA70" s="3"/>
      <c r="AB70" s="5"/>
      <c r="AC70" s="5"/>
      <c r="AD70" s="3"/>
      <c r="AE70" s="3" t="s">
        <v>553</v>
      </c>
    </row>
    <row r="71" customFormat="false" ht="60" hidden="false" customHeight="true" outlineLevel="0" collapsed="false">
      <c r="A71" s="2" t="s">
        <v>554</v>
      </c>
      <c r="B71" s="2" t="n">
        <v>2021</v>
      </c>
      <c r="C71" s="2" t="s">
        <v>389</v>
      </c>
      <c r="D71" s="2" t="s">
        <v>33</v>
      </c>
      <c r="E71" s="2" t="s">
        <v>104</v>
      </c>
      <c r="F71" s="2" t="n">
        <v>4</v>
      </c>
      <c r="G71" s="2" t="s">
        <v>52</v>
      </c>
      <c r="H71" s="2" t="s">
        <v>105</v>
      </c>
      <c r="I71" s="2" t="n">
        <v>12</v>
      </c>
      <c r="J71" s="2" t="n">
        <v>4</v>
      </c>
      <c r="K71" s="2" t="s">
        <v>85</v>
      </c>
      <c r="L71" s="2"/>
      <c r="M71" s="2"/>
      <c r="N71" s="2"/>
      <c r="O71" s="3"/>
      <c r="P71" s="2" t="s">
        <v>39</v>
      </c>
      <c r="Q71" s="2" t="s">
        <v>40</v>
      </c>
      <c r="R71" s="2" t="s">
        <v>41</v>
      </c>
      <c r="S71" s="2" t="s">
        <v>405</v>
      </c>
      <c r="T71" s="3" t="s">
        <v>555</v>
      </c>
      <c r="U71" s="3"/>
      <c r="V71" s="3" t="s">
        <v>556</v>
      </c>
      <c r="W71" s="3" t="s">
        <v>557</v>
      </c>
      <c r="X71" s="2" t="n">
        <v>15</v>
      </c>
      <c r="Y71" s="2" t="n">
        <v>4</v>
      </c>
      <c r="Z71" s="2" t="s">
        <v>47</v>
      </c>
      <c r="AA71" s="3"/>
      <c r="AB71" s="5"/>
      <c r="AC71" s="5"/>
      <c r="AD71" s="3" t="s">
        <v>558</v>
      </c>
      <c r="AE71" s="3" t="s">
        <v>559</v>
      </c>
    </row>
    <row r="72" customFormat="false" ht="60" hidden="false" customHeight="true" outlineLevel="0" collapsed="false">
      <c r="A72" s="2" t="s">
        <v>560</v>
      </c>
      <c r="B72" s="2" t="n">
        <v>2021</v>
      </c>
      <c r="C72" s="2" t="s">
        <v>389</v>
      </c>
      <c r="D72" s="2" t="s">
        <v>316</v>
      </c>
      <c r="E72" s="2" t="s">
        <v>34</v>
      </c>
      <c r="F72" s="2" t="n">
        <v>1</v>
      </c>
      <c r="G72" s="2" t="s">
        <v>35</v>
      </c>
      <c r="H72" s="2"/>
      <c r="I72" s="2" t="n">
        <v>2</v>
      </c>
      <c r="J72" s="2" t="n">
        <v>0</v>
      </c>
      <c r="K72" s="2" t="s">
        <v>163</v>
      </c>
      <c r="L72" s="2"/>
      <c r="M72" s="2"/>
      <c r="N72" s="2"/>
      <c r="O72" s="3"/>
      <c r="P72" s="2" t="s">
        <v>201</v>
      </c>
      <c r="Q72" s="2" t="s">
        <v>202</v>
      </c>
      <c r="R72" s="2" t="s">
        <v>561</v>
      </c>
      <c r="S72" s="2" t="s">
        <v>562</v>
      </c>
      <c r="T72" s="3" t="s">
        <v>563</v>
      </c>
      <c r="U72" s="3" t="s">
        <v>564</v>
      </c>
      <c r="V72" s="3" t="s">
        <v>565</v>
      </c>
      <c r="W72" s="3" t="s">
        <v>566</v>
      </c>
      <c r="X72" s="2" t="n">
        <v>6</v>
      </c>
      <c r="Y72" s="2" t="n">
        <v>3</v>
      </c>
      <c r="Z72" s="2" t="s">
        <v>47</v>
      </c>
      <c r="AA72" s="4" t="s">
        <v>567</v>
      </c>
      <c r="AB72" s="5"/>
      <c r="AC72" s="5"/>
      <c r="AD72" s="3"/>
      <c r="AE72" s="3" t="s">
        <v>568</v>
      </c>
    </row>
    <row r="73" customFormat="false" ht="60" hidden="false" customHeight="true" outlineLevel="0" collapsed="false">
      <c r="A73" s="2" t="s">
        <v>569</v>
      </c>
      <c r="B73" s="2" t="n">
        <v>2021</v>
      </c>
      <c r="C73" s="2" t="s">
        <v>389</v>
      </c>
      <c r="D73" s="2" t="s">
        <v>316</v>
      </c>
      <c r="E73" s="2" t="s">
        <v>34</v>
      </c>
      <c r="F73" s="2" t="n">
        <v>1</v>
      </c>
      <c r="G73" s="2" t="s">
        <v>483</v>
      </c>
      <c r="H73" s="2"/>
      <c r="I73" s="2" t="n">
        <v>1</v>
      </c>
      <c r="J73" s="2" t="n">
        <v>0</v>
      </c>
      <c r="K73" s="2" t="s">
        <v>53</v>
      </c>
      <c r="L73" s="2"/>
      <c r="M73" s="2"/>
      <c r="N73" s="2"/>
      <c r="O73" s="3"/>
      <c r="P73" s="2" t="s">
        <v>124</v>
      </c>
      <c r="Q73" s="2" t="s">
        <v>125</v>
      </c>
      <c r="R73" s="2" t="s">
        <v>570</v>
      </c>
      <c r="S73" s="2" t="s">
        <v>491</v>
      </c>
      <c r="T73" s="3" t="s">
        <v>571</v>
      </c>
      <c r="U73" s="3" t="s">
        <v>564</v>
      </c>
      <c r="V73" s="3" t="s">
        <v>572</v>
      </c>
      <c r="W73" s="2" t="s">
        <v>573</v>
      </c>
      <c r="X73" s="2" t="n">
        <v>6</v>
      </c>
      <c r="Y73" s="2" t="n">
        <v>3</v>
      </c>
      <c r="Z73" s="2" t="s">
        <v>47</v>
      </c>
      <c r="AA73" s="3"/>
      <c r="AB73" s="5"/>
      <c r="AC73" s="5"/>
      <c r="AD73" s="3"/>
      <c r="AE73" s="3" t="s">
        <v>574</v>
      </c>
    </row>
    <row r="74" customFormat="false" ht="60" hidden="false" customHeight="true" outlineLevel="0" collapsed="false">
      <c r="A74" s="2" t="s">
        <v>575</v>
      </c>
      <c r="B74" s="2" t="n">
        <v>2021</v>
      </c>
      <c r="C74" s="2" t="s">
        <v>389</v>
      </c>
      <c r="D74" s="2" t="s">
        <v>316</v>
      </c>
      <c r="E74" s="2" t="s">
        <v>34</v>
      </c>
      <c r="F74" s="2" t="n">
        <v>1</v>
      </c>
      <c r="G74" s="2" t="s">
        <v>490</v>
      </c>
      <c r="H74" s="2"/>
      <c r="I74" s="2" t="n">
        <v>2</v>
      </c>
      <c r="J74" s="2" t="n">
        <v>0</v>
      </c>
      <c r="K74" s="2" t="s">
        <v>86</v>
      </c>
      <c r="L74" s="2"/>
      <c r="M74" s="2"/>
      <c r="N74" s="2"/>
      <c r="O74" s="3"/>
      <c r="P74" s="2" t="s">
        <v>124</v>
      </c>
      <c r="Q74" s="2" t="s">
        <v>125</v>
      </c>
      <c r="R74" s="2" t="s">
        <v>570</v>
      </c>
      <c r="S74" s="2" t="s">
        <v>491</v>
      </c>
      <c r="T74" s="3" t="s">
        <v>576</v>
      </c>
      <c r="U74" s="3" t="s">
        <v>564</v>
      </c>
      <c r="V74" s="3" t="s">
        <v>577</v>
      </c>
      <c r="W74" s="3" t="s">
        <v>578</v>
      </c>
      <c r="X74" s="2" t="n">
        <v>6</v>
      </c>
      <c r="Y74" s="2" t="n">
        <v>3</v>
      </c>
      <c r="Z74" s="2" t="s">
        <v>47</v>
      </c>
      <c r="AA74" s="4" t="s">
        <v>579</v>
      </c>
      <c r="AB74" s="5"/>
      <c r="AC74" s="5"/>
      <c r="AD74" s="3"/>
      <c r="AE74" s="3" t="s">
        <v>580</v>
      </c>
    </row>
    <row r="75" customFormat="false" ht="60" hidden="false" customHeight="true" outlineLevel="0" collapsed="false">
      <c r="A75" s="2" t="s">
        <v>581</v>
      </c>
      <c r="B75" s="2" t="n">
        <v>2021</v>
      </c>
      <c r="C75" s="2" t="s">
        <v>389</v>
      </c>
      <c r="D75" s="2" t="s">
        <v>316</v>
      </c>
      <c r="E75" s="2" t="s">
        <v>34</v>
      </c>
      <c r="F75" s="2" t="n">
        <v>1</v>
      </c>
      <c r="G75" s="2" t="s">
        <v>63</v>
      </c>
      <c r="H75" s="2"/>
      <c r="I75" s="2" t="n">
        <v>3</v>
      </c>
      <c r="J75" s="2" t="n">
        <v>0</v>
      </c>
      <c r="K75" s="2" t="s">
        <v>280</v>
      </c>
      <c r="L75" s="2" t="s">
        <v>64</v>
      </c>
      <c r="M75" s="2"/>
      <c r="N75" s="2"/>
      <c r="O75" s="3"/>
      <c r="P75" s="2" t="s">
        <v>133</v>
      </c>
      <c r="Q75" s="2" t="s">
        <v>134</v>
      </c>
      <c r="R75" s="2" t="s">
        <v>135</v>
      </c>
      <c r="S75" s="2" t="s">
        <v>136</v>
      </c>
      <c r="T75" s="3" t="s">
        <v>582</v>
      </c>
      <c r="U75" s="3" t="s">
        <v>564</v>
      </c>
      <c r="V75" s="3" t="s">
        <v>583</v>
      </c>
      <c r="W75" s="3" t="s">
        <v>584</v>
      </c>
      <c r="X75" s="2" t="n">
        <v>7</v>
      </c>
      <c r="Y75" s="2" t="n">
        <v>3</v>
      </c>
      <c r="Z75" s="2" t="s">
        <v>47</v>
      </c>
      <c r="AA75" s="3"/>
      <c r="AB75" s="5"/>
      <c r="AC75" s="5"/>
      <c r="AD75" s="3"/>
      <c r="AE75" s="3" t="s">
        <v>585</v>
      </c>
    </row>
    <row r="76" customFormat="false" ht="60" hidden="false" customHeight="true" outlineLevel="0" collapsed="false">
      <c r="A76" s="2" t="s">
        <v>586</v>
      </c>
      <c r="B76" s="2" t="n">
        <v>2021</v>
      </c>
      <c r="C76" s="2" t="s">
        <v>389</v>
      </c>
      <c r="D76" s="2" t="s">
        <v>316</v>
      </c>
      <c r="E76" s="2" t="s">
        <v>34</v>
      </c>
      <c r="F76" s="2" t="n">
        <v>1</v>
      </c>
      <c r="G76" s="2" t="s">
        <v>72</v>
      </c>
      <c r="H76" s="2"/>
      <c r="I76" s="2" t="n">
        <v>6</v>
      </c>
      <c r="J76" s="2" t="n">
        <v>1</v>
      </c>
      <c r="K76" s="2" t="s">
        <v>85</v>
      </c>
      <c r="L76" s="2"/>
      <c r="M76" s="2"/>
      <c r="N76" s="2"/>
      <c r="O76" s="3"/>
      <c r="P76" s="2" t="s">
        <v>54</v>
      </c>
      <c r="Q76" s="2" t="s">
        <v>55</v>
      </c>
      <c r="R76" s="2" t="s">
        <v>587</v>
      </c>
      <c r="S76" s="2" t="s">
        <v>588</v>
      </c>
      <c r="T76" s="3" t="s">
        <v>589</v>
      </c>
      <c r="U76" s="3" t="s">
        <v>564</v>
      </c>
      <c r="V76" s="3" t="s">
        <v>590</v>
      </c>
      <c r="W76" s="3" t="s">
        <v>591</v>
      </c>
      <c r="X76" s="2" t="n">
        <v>7</v>
      </c>
      <c r="Y76" s="2" t="n">
        <v>3</v>
      </c>
      <c r="Z76" s="2" t="s">
        <v>47</v>
      </c>
      <c r="AA76" s="3"/>
      <c r="AB76" s="5"/>
      <c r="AC76" s="5"/>
      <c r="AD76" s="3"/>
      <c r="AE76" s="3" t="s">
        <v>592</v>
      </c>
    </row>
    <row r="77" customFormat="false" ht="60" hidden="false" customHeight="true" outlineLevel="0" collapsed="false">
      <c r="A77" s="2" t="s">
        <v>593</v>
      </c>
      <c r="B77" s="2" t="n">
        <v>2021</v>
      </c>
      <c r="C77" s="2" t="s">
        <v>389</v>
      </c>
      <c r="D77" s="2" t="s">
        <v>316</v>
      </c>
      <c r="E77" s="2" t="s">
        <v>34</v>
      </c>
      <c r="F77" s="2" t="n">
        <v>1</v>
      </c>
      <c r="G77" s="2" t="s">
        <v>84</v>
      </c>
      <c r="H77" s="2"/>
      <c r="I77" s="2" t="n">
        <v>6</v>
      </c>
      <c r="J77" s="2" t="n">
        <v>1</v>
      </c>
      <c r="K77" s="2" t="s">
        <v>85</v>
      </c>
      <c r="L77" s="2"/>
      <c r="M77" s="2"/>
      <c r="N77" s="2"/>
      <c r="O77" s="3" t="s">
        <v>308</v>
      </c>
      <c r="P77" s="2" t="s">
        <v>594</v>
      </c>
      <c r="Q77" s="2" t="s">
        <v>595</v>
      </c>
      <c r="R77" s="2" t="s">
        <v>596</v>
      </c>
      <c r="S77" s="2" t="s">
        <v>597</v>
      </c>
      <c r="T77" s="3" t="s">
        <v>598</v>
      </c>
      <c r="U77" s="3" t="s">
        <v>564</v>
      </c>
      <c r="V77" s="3" t="s">
        <v>599</v>
      </c>
      <c r="W77" s="3" t="s">
        <v>600</v>
      </c>
      <c r="X77" s="2" t="n">
        <v>8</v>
      </c>
      <c r="Y77" s="2" t="n">
        <v>3</v>
      </c>
      <c r="Z77" s="2" t="s">
        <v>47</v>
      </c>
      <c r="AA77" s="3"/>
      <c r="AB77" s="5"/>
      <c r="AC77" s="5"/>
      <c r="AD77" s="3"/>
      <c r="AE77" s="3" t="s">
        <v>601</v>
      </c>
    </row>
    <row r="78" customFormat="false" ht="60" hidden="false" customHeight="true" outlineLevel="0" collapsed="false">
      <c r="A78" s="2" t="s">
        <v>602</v>
      </c>
      <c r="B78" s="2" t="n">
        <v>2021</v>
      </c>
      <c r="C78" s="2" t="s">
        <v>389</v>
      </c>
      <c r="D78" s="2" t="s">
        <v>316</v>
      </c>
      <c r="E78" s="2" t="s">
        <v>104</v>
      </c>
      <c r="F78" s="2" t="n">
        <v>2</v>
      </c>
      <c r="G78" s="2" t="s">
        <v>35</v>
      </c>
      <c r="H78" s="2" t="s">
        <v>105</v>
      </c>
      <c r="I78" s="2" t="n">
        <v>8</v>
      </c>
      <c r="J78" s="2" t="n">
        <v>0</v>
      </c>
      <c r="K78" s="2" t="s">
        <v>64</v>
      </c>
      <c r="L78" s="2"/>
      <c r="M78" s="2"/>
      <c r="N78" s="2"/>
      <c r="O78" s="3"/>
      <c r="P78" s="2" t="s">
        <v>332</v>
      </c>
      <c r="Q78" s="2" t="s">
        <v>333</v>
      </c>
      <c r="R78" s="2" t="s">
        <v>603</v>
      </c>
      <c r="S78" s="2" t="s">
        <v>604</v>
      </c>
      <c r="T78" s="3" t="s">
        <v>605</v>
      </c>
      <c r="U78" s="3"/>
      <c r="V78" s="3" t="s">
        <v>606</v>
      </c>
      <c r="W78" s="3" t="s">
        <v>607</v>
      </c>
      <c r="X78" s="2" t="n">
        <v>9</v>
      </c>
      <c r="Y78" s="2" t="n">
        <v>4</v>
      </c>
      <c r="Z78" s="2" t="s">
        <v>47</v>
      </c>
      <c r="AA78" s="3"/>
      <c r="AB78" s="5"/>
      <c r="AC78" s="5"/>
      <c r="AD78" s="3"/>
      <c r="AE78" s="3" t="s">
        <v>608</v>
      </c>
    </row>
    <row r="79" customFormat="false" ht="60" hidden="false" customHeight="true" outlineLevel="0" collapsed="false">
      <c r="A79" s="2" t="s">
        <v>609</v>
      </c>
      <c r="B79" s="2" t="n">
        <v>2021</v>
      </c>
      <c r="C79" s="2" t="s">
        <v>389</v>
      </c>
      <c r="D79" s="2" t="s">
        <v>316</v>
      </c>
      <c r="E79" s="2" t="s">
        <v>104</v>
      </c>
      <c r="F79" s="2" t="n">
        <v>2</v>
      </c>
      <c r="G79" s="2" t="s">
        <v>52</v>
      </c>
      <c r="H79" s="2" t="s">
        <v>105</v>
      </c>
      <c r="I79" s="2" t="n">
        <v>12</v>
      </c>
      <c r="J79" s="2" t="n">
        <v>4</v>
      </c>
      <c r="K79" s="2" t="s">
        <v>85</v>
      </c>
      <c r="L79" s="2"/>
      <c r="M79" s="2"/>
      <c r="N79" s="2"/>
      <c r="O79" s="3" t="s">
        <v>527</v>
      </c>
      <c r="P79" s="2" t="s">
        <v>209</v>
      </c>
      <c r="Q79" s="2" t="s">
        <v>210</v>
      </c>
      <c r="R79" s="2" t="s">
        <v>610</v>
      </c>
      <c r="S79" s="2" t="s">
        <v>611</v>
      </c>
      <c r="T79" s="3" t="s">
        <v>612</v>
      </c>
      <c r="U79" s="3"/>
      <c r="V79" s="3" t="s">
        <v>613</v>
      </c>
      <c r="W79" s="3" t="s">
        <v>614</v>
      </c>
      <c r="X79" s="2" t="n">
        <v>9</v>
      </c>
      <c r="Y79" s="2" t="n">
        <v>4</v>
      </c>
      <c r="Z79" s="2" t="s">
        <v>47</v>
      </c>
      <c r="AA79" s="3"/>
      <c r="AB79" s="5"/>
      <c r="AC79" s="5"/>
      <c r="AD79" s="3"/>
      <c r="AE79" s="3" t="s">
        <v>615</v>
      </c>
    </row>
    <row r="80" customFormat="false" ht="60" hidden="false" customHeight="true" outlineLevel="0" collapsed="false">
      <c r="A80" s="2" t="s">
        <v>616</v>
      </c>
      <c r="B80" s="2" t="n">
        <v>2021</v>
      </c>
      <c r="C80" s="2" t="s">
        <v>389</v>
      </c>
      <c r="D80" s="2" t="s">
        <v>316</v>
      </c>
      <c r="E80" s="2" t="s">
        <v>104</v>
      </c>
      <c r="F80" s="2" t="n">
        <v>3</v>
      </c>
      <c r="G80" s="2" t="s">
        <v>35</v>
      </c>
      <c r="H80" s="2" t="s">
        <v>105</v>
      </c>
      <c r="I80" s="2" t="n">
        <v>8</v>
      </c>
      <c r="J80" s="2" t="n">
        <v>0</v>
      </c>
      <c r="K80" s="2" t="s">
        <v>64</v>
      </c>
      <c r="L80" s="2"/>
      <c r="M80" s="2"/>
      <c r="N80" s="2"/>
      <c r="O80" s="3"/>
      <c r="P80" s="2" t="s">
        <v>124</v>
      </c>
      <c r="Q80" s="2" t="s">
        <v>125</v>
      </c>
      <c r="R80" s="2" t="s">
        <v>126</v>
      </c>
      <c r="S80" s="2" t="s">
        <v>617</v>
      </c>
      <c r="T80" s="3" t="s">
        <v>618</v>
      </c>
      <c r="U80" s="3"/>
      <c r="V80" s="3" t="s">
        <v>619</v>
      </c>
      <c r="W80" s="3" t="s">
        <v>620</v>
      </c>
      <c r="X80" s="2" t="n">
        <v>10</v>
      </c>
      <c r="Y80" s="2" t="n">
        <v>4</v>
      </c>
      <c r="Z80" s="2" t="s">
        <v>47</v>
      </c>
      <c r="AA80" s="3"/>
      <c r="AB80" s="5"/>
      <c r="AC80" s="5"/>
      <c r="AD80" s="3"/>
      <c r="AE80" s="3" t="s">
        <v>621</v>
      </c>
    </row>
    <row r="81" customFormat="false" ht="60" hidden="false" customHeight="true" outlineLevel="0" collapsed="false">
      <c r="A81" s="2" t="s">
        <v>622</v>
      </c>
      <c r="B81" s="2" t="n">
        <v>2021</v>
      </c>
      <c r="C81" s="2" t="s">
        <v>389</v>
      </c>
      <c r="D81" s="2" t="s">
        <v>316</v>
      </c>
      <c r="E81" s="2" t="s">
        <v>104</v>
      </c>
      <c r="F81" s="2" t="n">
        <v>3</v>
      </c>
      <c r="G81" s="2" t="s">
        <v>52</v>
      </c>
      <c r="H81" s="2" t="s">
        <v>105</v>
      </c>
      <c r="I81" s="2" t="n">
        <v>12</v>
      </c>
      <c r="J81" s="2" t="n">
        <v>4</v>
      </c>
      <c r="K81" s="2" t="s">
        <v>85</v>
      </c>
      <c r="L81" s="2"/>
      <c r="M81" s="2"/>
      <c r="N81" s="2"/>
      <c r="O81" s="3" t="s">
        <v>308</v>
      </c>
      <c r="P81" s="2" t="s">
        <v>124</v>
      </c>
      <c r="Q81" s="2" t="s">
        <v>125</v>
      </c>
      <c r="R81" s="2" t="s">
        <v>126</v>
      </c>
      <c r="S81" s="2" t="s">
        <v>233</v>
      </c>
      <c r="T81" s="3" t="s">
        <v>623</v>
      </c>
      <c r="U81" s="3"/>
      <c r="V81" s="3" t="s">
        <v>624</v>
      </c>
      <c r="W81" s="3" t="s">
        <v>625</v>
      </c>
      <c r="X81" s="2" t="n">
        <v>11</v>
      </c>
      <c r="Y81" s="2" t="n">
        <v>4</v>
      </c>
      <c r="Z81" s="2" t="s">
        <v>47</v>
      </c>
      <c r="AA81" s="3"/>
      <c r="AB81" s="5"/>
      <c r="AC81" s="5"/>
      <c r="AD81" s="3" t="s">
        <v>626</v>
      </c>
      <c r="AE81" s="3" t="s">
        <v>627</v>
      </c>
    </row>
    <row r="82" customFormat="false" ht="60" hidden="false" customHeight="true" outlineLevel="0" collapsed="false">
      <c r="A82" s="2" t="s">
        <v>628</v>
      </c>
      <c r="B82" s="2" t="n">
        <v>2021</v>
      </c>
      <c r="C82" s="2" t="s">
        <v>389</v>
      </c>
      <c r="D82" s="2" t="s">
        <v>316</v>
      </c>
      <c r="E82" s="2" t="s">
        <v>104</v>
      </c>
      <c r="F82" s="2" t="n">
        <v>4</v>
      </c>
      <c r="G82" s="2" t="s">
        <v>35</v>
      </c>
      <c r="H82" s="2" t="s">
        <v>105</v>
      </c>
      <c r="I82" s="2" t="n">
        <v>8</v>
      </c>
      <c r="J82" s="2" t="n">
        <v>0</v>
      </c>
      <c r="K82" s="2" t="s">
        <v>64</v>
      </c>
      <c r="L82" s="2"/>
      <c r="M82" s="2"/>
      <c r="N82" s="2"/>
      <c r="O82" s="3"/>
      <c r="P82" s="2" t="s">
        <v>39</v>
      </c>
      <c r="Q82" s="2" t="s">
        <v>40</v>
      </c>
      <c r="R82" s="2" t="s">
        <v>41</v>
      </c>
      <c r="S82" s="2" t="s">
        <v>629</v>
      </c>
      <c r="T82" s="3" t="s">
        <v>630</v>
      </c>
      <c r="U82" s="3"/>
      <c r="V82" s="3" t="s">
        <v>631</v>
      </c>
      <c r="W82" s="3" t="s">
        <v>632</v>
      </c>
      <c r="X82" s="2" t="n">
        <v>11</v>
      </c>
      <c r="Y82" s="2" t="n">
        <v>4</v>
      </c>
      <c r="Z82" s="2" t="s">
        <v>47</v>
      </c>
      <c r="AA82" s="3"/>
      <c r="AB82" s="5"/>
      <c r="AC82" s="5"/>
      <c r="AD82" s="3"/>
      <c r="AE82" s="3" t="s">
        <v>633</v>
      </c>
    </row>
    <row r="83" customFormat="false" ht="60" hidden="false" customHeight="true" outlineLevel="0" collapsed="false">
      <c r="A83" s="2" t="s">
        <v>634</v>
      </c>
      <c r="B83" s="2" t="n">
        <v>2021</v>
      </c>
      <c r="C83" s="2" t="s">
        <v>389</v>
      </c>
      <c r="D83" s="2" t="s">
        <v>316</v>
      </c>
      <c r="E83" s="2" t="s">
        <v>104</v>
      </c>
      <c r="F83" s="2" t="n">
        <v>4</v>
      </c>
      <c r="G83" s="2" t="s">
        <v>52</v>
      </c>
      <c r="H83" s="2" t="s">
        <v>105</v>
      </c>
      <c r="I83" s="2" t="n">
        <v>12</v>
      </c>
      <c r="J83" s="2" t="n">
        <v>4</v>
      </c>
      <c r="K83" s="2" t="s">
        <v>85</v>
      </c>
      <c r="L83" s="2"/>
      <c r="M83" s="2"/>
      <c r="N83" s="2"/>
      <c r="O83" s="3" t="s">
        <v>308</v>
      </c>
      <c r="P83" s="2" t="s">
        <v>87</v>
      </c>
      <c r="Q83" s="2" t="s">
        <v>88</v>
      </c>
      <c r="R83" s="2" t="s">
        <v>635</v>
      </c>
      <c r="S83" s="2" t="s">
        <v>636</v>
      </c>
      <c r="T83" s="3" t="s">
        <v>637</v>
      </c>
      <c r="U83" s="3"/>
      <c r="V83" s="3" t="s">
        <v>638</v>
      </c>
      <c r="W83" s="3" t="s">
        <v>639</v>
      </c>
      <c r="X83" s="2" t="n">
        <v>12</v>
      </c>
      <c r="Y83" s="2" t="n">
        <v>4</v>
      </c>
      <c r="Z83" s="2" t="s">
        <v>47</v>
      </c>
      <c r="AA83" s="3"/>
      <c r="AB83" s="5"/>
      <c r="AC83" s="5"/>
      <c r="AD83" s="3" t="s">
        <v>640</v>
      </c>
      <c r="AE83" s="3" t="s">
        <v>641</v>
      </c>
    </row>
    <row r="84" customFormat="false" ht="60" hidden="false" customHeight="true" outlineLevel="0" collapsed="false">
      <c r="A84" s="2" t="s">
        <v>642</v>
      </c>
      <c r="B84" s="2" t="n">
        <v>2022</v>
      </c>
      <c r="C84" s="2" t="s">
        <v>32</v>
      </c>
      <c r="D84" s="2" t="s">
        <v>33</v>
      </c>
      <c r="E84" s="2" t="s">
        <v>34</v>
      </c>
      <c r="F84" s="2" t="n">
        <v>1</v>
      </c>
      <c r="G84" s="2" t="s">
        <v>35</v>
      </c>
      <c r="H84" s="2"/>
      <c r="I84" s="2" t="n">
        <v>2</v>
      </c>
      <c r="J84" s="2" t="n">
        <v>0</v>
      </c>
      <c r="K84" s="2" t="s">
        <v>163</v>
      </c>
      <c r="L84" s="2"/>
      <c r="M84" s="2"/>
      <c r="N84" s="2"/>
      <c r="O84" s="3"/>
      <c r="P84" s="2" t="s">
        <v>164</v>
      </c>
      <c r="Q84" s="2" t="s">
        <v>165</v>
      </c>
      <c r="R84" s="2" t="s">
        <v>166</v>
      </c>
      <c r="S84" s="2" t="s">
        <v>167</v>
      </c>
      <c r="T84" s="3" t="s">
        <v>168</v>
      </c>
      <c r="U84" s="3" t="s">
        <v>643</v>
      </c>
      <c r="V84" s="3" t="s">
        <v>644</v>
      </c>
      <c r="W84" s="3" t="s">
        <v>645</v>
      </c>
      <c r="X84" s="2" t="n">
        <v>6</v>
      </c>
      <c r="Y84" s="2" t="n">
        <v>3</v>
      </c>
      <c r="Z84" s="2" t="s">
        <v>47</v>
      </c>
      <c r="AA84" s="3"/>
      <c r="AB84" s="5"/>
      <c r="AC84" s="5"/>
      <c r="AD84" s="3" t="s">
        <v>646</v>
      </c>
      <c r="AE84" s="3" t="s">
        <v>647</v>
      </c>
    </row>
    <row r="85" customFormat="false" ht="60" hidden="false" customHeight="true" outlineLevel="0" collapsed="false">
      <c r="A85" s="2" t="s">
        <v>648</v>
      </c>
      <c r="B85" s="2" t="n">
        <v>2022</v>
      </c>
      <c r="C85" s="2" t="s">
        <v>32</v>
      </c>
      <c r="D85" s="2" t="s">
        <v>33</v>
      </c>
      <c r="E85" s="2" t="s">
        <v>34</v>
      </c>
      <c r="F85" s="2" t="n">
        <v>1</v>
      </c>
      <c r="G85" s="2" t="s">
        <v>52</v>
      </c>
      <c r="H85" s="2"/>
      <c r="I85" s="2" t="n">
        <v>2</v>
      </c>
      <c r="J85" s="2" t="n">
        <v>0</v>
      </c>
      <c r="K85" s="2" t="s">
        <v>64</v>
      </c>
      <c r="L85" s="2"/>
      <c r="M85" s="2"/>
      <c r="N85" s="2"/>
      <c r="O85" s="3"/>
      <c r="P85" s="2" t="s">
        <v>193</v>
      </c>
      <c r="Q85" s="2" t="s">
        <v>194</v>
      </c>
      <c r="R85" s="2" t="s">
        <v>528</v>
      </c>
      <c r="S85" s="2" t="s">
        <v>649</v>
      </c>
      <c r="T85" s="3" t="s">
        <v>650</v>
      </c>
      <c r="U85" s="3" t="s">
        <v>643</v>
      </c>
      <c r="V85" s="3" t="s">
        <v>651</v>
      </c>
      <c r="W85" s="3" t="s">
        <v>652</v>
      </c>
      <c r="X85" s="2" t="n">
        <v>6</v>
      </c>
      <c r="Y85" s="2" t="n">
        <v>3</v>
      </c>
      <c r="Z85" s="2" t="s">
        <v>47</v>
      </c>
      <c r="AA85" s="3"/>
      <c r="AB85" s="5"/>
      <c r="AC85" s="5"/>
      <c r="AD85" s="3"/>
      <c r="AE85" s="3" t="s">
        <v>653</v>
      </c>
    </row>
    <row r="86" customFormat="false" ht="60" hidden="false" customHeight="true" outlineLevel="0" collapsed="false">
      <c r="A86" s="2" t="s">
        <v>654</v>
      </c>
      <c r="B86" s="2" t="n">
        <v>2022</v>
      </c>
      <c r="C86" s="2" t="s">
        <v>32</v>
      </c>
      <c r="D86" s="2" t="s">
        <v>33</v>
      </c>
      <c r="E86" s="2" t="s">
        <v>34</v>
      </c>
      <c r="F86" s="2" t="n">
        <v>1</v>
      </c>
      <c r="G86" s="2" t="s">
        <v>63</v>
      </c>
      <c r="H86" s="2"/>
      <c r="I86" s="2" t="n">
        <v>4</v>
      </c>
      <c r="J86" s="2" t="n">
        <v>0</v>
      </c>
      <c r="K86" s="2" t="s">
        <v>64</v>
      </c>
      <c r="L86" s="2"/>
      <c r="M86" s="2"/>
      <c r="N86" s="2"/>
      <c r="O86" s="3"/>
      <c r="P86" s="2" t="s">
        <v>164</v>
      </c>
      <c r="Q86" s="2" t="s">
        <v>165</v>
      </c>
      <c r="R86" s="2" t="s">
        <v>655</v>
      </c>
      <c r="S86" s="2" t="s">
        <v>656</v>
      </c>
      <c r="T86" s="3" t="s">
        <v>657</v>
      </c>
      <c r="U86" s="3" t="s">
        <v>643</v>
      </c>
      <c r="V86" s="3" t="s">
        <v>658</v>
      </c>
      <c r="W86" s="3" t="s">
        <v>659</v>
      </c>
      <c r="X86" s="2" t="n">
        <v>7</v>
      </c>
      <c r="Y86" s="2" t="n">
        <v>3</v>
      </c>
      <c r="Z86" s="2" t="s">
        <v>47</v>
      </c>
      <c r="AA86" s="3"/>
      <c r="AB86" s="5"/>
      <c r="AC86" s="5"/>
      <c r="AD86" s="3"/>
      <c r="AE86" s="3" t="s">
        <v>660</v>
      </c>
    </row>
    <row r="87" customFormat="false" ht="60" hidden="false" customHeight="true" outlineLevel="0" collapsed="false">
      <c r="A87" s="2" t="s">
        <v>661</v>
      </c>
      <c r="B87" s="2" t="n">
        <v>2022</v>
      </c>
      <c r="C87" s="2" t="s">
        <v>32</v>
      </c>
      <c r="D87" s="2" t="s">
        <v>33</v>
      </c>
      <c r="E87" s="2" t="s">
        <v>34</v>
      </c>
      <c r="F87" s="2" t="n">
        <v>1</v>
      </c>
      <c r="G87" s="2" t="s">
        <v>662</v>
      </c>
      <c r="H87" s="2"/>
      <c r="I87" s="2" t="n">
        <v>3</v>
      </c>
      <c r="J87" s="2" t="n">
        <v>0</v>
      </c>
      <c r="K87" s="2" t="s">
        <v>64</v>
      </c>
      <c r="L87" s="2"/>
      <c r="M87" s="2"/>
      <c r="N87" s="2"/>
      <c r="O87" s="3"/>
      <c r="P87" s="2" t="s">
        <v>87</v>
      </c>
      <c r="Q87" s="2" t="s">
        <v>88</v>
      </c>
      <c r="R87" s="2" t="s">
        <v>663</v>
      </c>
      <c r="S87" s="2" t="s">
        <v>664</v>
      </c>
      <c r="T87" s="3" t="s">
        <v>665</v>
      </c>
      <c r="U87" s="3" t="s">
        <v>643</v>
      </c>
      <c r="V87" s="3" t="s">
        <v>666</v>
      </c>
      <c r="W87" s="3" t="s">
        <v>667</v>
      </c>
      <c r="X87" s="2" t="n">
        <v>7</v>
      </c>
      <c r="Y87" s="2" t="n">
        <v>3</v>
      </c>
      <c r="Z87" s="2" t="s">
        <v>47</v>
      </c>
      <c r="AA87" s="4" t="s">
        <v>409</v>
      </c>
      <c r="AB87" s="5"/>
      <c r="AC87" s="5"/>
      <c r="AD87" s="3"/>
      <c r="AE87" s="3" t="s">
        <v>668</v>
      </c>
    </row>
    <row r="88" customFormat="false" ht="60" hidden="false" customHeight="true" outlineLevel="0" collapsed="false">
      <c r="A88" s="2" t="s">
        <v>669</v>
      </c>
      <c r="B88" s="2" t="n">
        <v>2022</v>
      </c>
      <c r="C88" s="2" t="s">
        <v>32</v>
      </c>
      <c r="D88" s="2" t="s">
        <v>33</v>
      </c>
      <c r="E88" s="2" t="s">
        <v>34</v>
      </c>
      <c r="F88" s="2" t="n">
        <v>1</v>
      </c>
      <c r="G88" s="2" t="s">
        <v>670</v>
      </c>
      <c r="H88" s="2"/>
      <c r="I88" s="2" t="n">
        <v>3</v>
      </c>
      <c r="J88" s="2" t="n">
        <v>0</v>
      </c>
      <c r="K88" s="2" t="s">
        <v>64</v>
      </c>
      <c r="L88" s="2"/>
      <c r="M88" s="2"/>
      <c r="N88" s="2"/>
      <c r="O88" s="3"/>
      <c r="P88" s="2" t="s">
        <v>87</v>
      </c>
      <c r="Q88" s="2" t="s">
        <v>88</v>
      </c>
      <c r="R88" s="2" t="s">
        <v>663</v>
      </c>
      <c r="S88" s="2" t="s">
        <v>664</v>
      </c>
      <c r="T88" s="3" t="s">
        <v>671</v>
      </c>
      <c r="U88" s="3" t="s">
        <v>643</v>
      </c>
      <c r="V88" s="3" t="s">
        <v>672</v>
      </c>
      <c r="W88" s="3" t="s">
        <v>673</v>
      </c>
      <c r="X88" s="2" t="n">
        <v>8</v>
      </c>
      <c r="Y88" s="2" t="n">
        <v>3</v>
      </c>
      <c r="Z88" s="2" t="s">
        <v>47</v>
      </c>
      <c r="AA88" s="4" t="s">
        <v>409</v>
      </c>
      <c r="AB88" s="5"/>
      <c r="AC88" s="5"/>
      <c r="AD88" s="3"/>
      <c r="AE88" s="3" t="s">
        <v>674</v>
      </c>
    </row>
    <row r="89" customFormat="false" ht="60" hidden="false" customHeight="true" outlineLevel="0" collapsed="false">
      <c r="A89" s="2" t="s">
        <v>675</v>
      </c>
      <c r="B89" s="2" t="n">
        <v>2022</v>
      </c>
      <c r="C89" s="2" t="s">
        <v>32</v>
      </c>
      <c r="D89" s="2" t="s">
        <v>33</v>
      </c>
      <c r="E89" s="2" t="s">
        <v>34</v>
      </c>
      <c r="F89" s="2" t="n">
        <v>1</v>
      </c>
      <c r="G89" s="2" t="s">
        <v>84</v>
      </c>
      <c r="H89" s="2"/>
      <c r="I89" s="2" t="n">
        <v>6</v>
      </c>
      <c r="J89" s="2" t="n">
        <v>2</v>
      </c>
      <c r="K89" s="2" t="s">
        <v>85</v>
      </c>
      <c r="L89" s="2"/>
      <c r="M89" s="2" t="s">
        <v>37</v>
      </c>
      <c r="N89" s="2"/>
      <c r="O89" s="3" t="s">
        <v>676</v>
      </c>
      <c r="P89" s="2" t="s">
        <v>87</v>
      </c>
      <c r="Q89" s="2" t="s">
        <v>88</v>
      </c>
      <c r="R89" s="2" t="s">
        <v>412</v>
      </c>
      <c r="S89" s="2" t="s">
        <v>413</v>
      </c>
      <c r="T89" s="3" t="s">
        <v>677</v>
      </c>
      <c r="U89" s="3" t="s">
        <v>643</v>
      </c>
      <c r="V89" s="3" t="s">
        <v>678</v>
      </c>
      <c r="W89" s="3" t="s">
        <v>679</v>
      </c>
      <c r="X89" s="2" t="n">
        <v>8</v>
      </c>
      <c r="Y89" s="2" t="n">
        <v>3</v>
      </c>
      <c r="Z89" s="2" t="s">
        <v>47</v>
      </c>
      <c r="AA89" s="3"/>
      <c r="AB89" s="5"/>
      <c r="AC89" s="5"/>
      <c r="AD89" s="3"/>
      <c r="AE89" s="3" t="s">
        <v>680</v>
      </c>
    </row>
    <row r="90" customFormat="false" ht="60" hidden="false" customHeight="true" outlineLevel="0" collapsed="false">
      <c r="A90" s="2" t="s">
        <v>681</v>
      </c>
      <c r="B90" s="2" t="n">
        <v>2022</v>
      </c>
      <c r="C90" s="2" t="s">
        <v>32</v>
      </c>
      <c r="D90" s="2" t="s">
        <v>33</v>
      </c>
      <c r="E90" s="2" t="s">
        <v>104</v>
      </c>
      <c r="F90" s="2" t="n">
        <v>2</v>
      </c>
      <c r="G90" s="2" t="s">
        <v>35</v>
      </c>
      <c r="H90" s="2" t="s">
        <v>105</v>
      </c>
      <c r="I90" s="2" t="n">
        <v>8</v>
      </c>
      <c r="J90" s="2" t="n">
        <v>0</v>
      </c>
      <c r="K90" s="2" t="s">
        <v>64</v>
      </c>
      <c r="L90" s="2"/>
      <c r="M90" s="2" t="s">
        <v>37</v>
      </c>
      <c r="N90" s="2"/>
      <c r="O90" s="3" t="s">
        <v>73</v>
      </c>
      <c r="P90" s="2" t="s">
        <v>106</v>
      </c>
      <c r="Q90" s="2" t="s">
        <v>107</v>
      </c>
      <c r="R90" s="2" t="s">
        <v>519</v>
      </c>
      <c r="S90" s="2" t="s">
        <v>682</v>
      </c>
      <c r="T90" s="3" t="s">
        <v>683</v>
      </c>
      <c r="U90" s="3"/>
      <c r="V90" s="3" t="s">
        <v>684</v>
      </c>
      <c r="W90" s="3" t="s">
        <v>685</v>
      </c>
      <c r="X90" s="2" t="n">
        <v>9</v>
      </c>
      <c r="Y90" s="2" t="n">
        <v>4</v>
      </c>
      <c r="Z90" s="2" t="s">
        <v>47</v>
      </c>
      <c r="AA90" s="3"/>
      <c r="AB90" s="5"/>
      <c r="AC90" s="5"/>
      <c r="AD90" s="3"/>
      <c r="AE90" s="3" t="s">
        <v>686</v>
      </c>
    </row>
    <row r="91" customFormat="false" ht="60" hidden="false" customHeight="true" outlineLevel="0" collapsed="false">
      <c r="A91" s="2" t="s">
        <v>687</v>
      </c>
      <c r="B91" s="2" t="n">
        <v>2022</v>
      </c>
      <c r="C91" s="2" t="s">
        <v>32</v>
      </c>
      <c r="D91" s="2" t="s">
        <v>33</v>
      </c>
      <c r="E91" s="2" t="s">
        <v>104</v>
      </c>
      <c r="F91" s="2" t="n">
        <v>2</v>
      </c>
      <c r="G91" s="2" t="s">
        <v>52</v>
      </c>
      <c r="H91" s="2" t="s">
        <v>105</v>
      </c>
      <c r="I91" s="2" t="n">
        <v>12</v>
      </c>
      <c r="J91" s="2" t="n">
        <v>4</v>
      </c>
      <c r="K91" s="2" t="s">
        <v>85</v>
      </c>
      <c r="L91" s="2"/>
      <c r="M91" s="2"/>
      <c r="N91" s="2"/>
      <c r="O91" s="3" t="s">
        <v>527</v>
      </c>
      <c r="P91" s="2" t="s">
        <v>433</v>
      </c>
      <c r="Q91" s="2" t="s">
        <v>434</v>
      </c>
      <c r="R91" s="2" t="s">
        <v>435</v>
      </c>
      <c r="S91" s="2" t="s">
        <v>436</v>
      </c>
      <c r="T91" s="3" t="s">
        <v>688</v>
      </c>
      <c r="U91" s="3"/>
      <c r="V91" s="3" t="s">
        <v>689</v>
      </c>
      <c r="W91" s="3" t="s">
        <v>690</v>
      </c>
      <c r="X91" s="2" t="n">
        <v>10</v>
      </c>
      <c r="Y91" s="2" t="n">
        <v>4</v>
      </c>
      <c r="Z91" s="2" t="s">
        <v>47</v>
      </c>
      <c r="AA91" s="3"/>
      <c r="AB91" s="5"/>
      <c r="AC91" s="5"/>
      <c r="AD91" s="3" t="s">
        <v>691</v>
      </c>
      <c r="AE91" s="3" t="s">
        <v>692</v>
      </c>
    </row>
    <row r="92" customFormat="false" ht="60" hidden="false" customHeight="true" outlineLevel="0" collapsed="false">
      <c r="A92" s="2" t="s">
        <v>693</v>
      </c>
      <c r="B92" s="2" t="n">
        <v>2022</v>
      </c>
      <c r="C92" s="2" t="s">
        <v>32</v>
      </c>
      <c r="D92" s="2" t="s">
        <v>33</v>
      </c>
      <c r="E92" s="2" t="s">
        <v>104</v>
      </c>
      <c r="F92" s="2" t="n">
        <v>3</v>
      </c>
      <c r="G92" s="2" t="s">
        <v>35</v>
      </c>
      <c r="H92" s="2" t="s">
        <v>105</v>
      </c>
      <c r="I92" s="2" t="n">
        <v>8</v>
      </c>
      <c r="J92" s="2" t="n">
        <v>0</v>
      </c>
      <c r="K92" s="2" t="s">
        <v>64</v>
      </c>
      <c r="L92" s="2"/>
      <c r="M92" s="2"/>
      <c r="N92" s="2"/>
      <c r="O92" s="3"/>
      <c r="P92" s="2" t="s">
        <v>694</v>
      </c>
      <c r="Q92" s="2" t="s">
        <v>695</v>
      </c>
      <c r="R92" s="2" t="s">
        <v>696</v>
      </c>
      <c r="S92" s="2" t="s">
        <v>697</v>
      </c>
      <c r="T92" s="3" t="s">
        <v>698</v>
      </c>
      <c r="U92" s="3"/>
      <c r="V92" s="3" t="s">
        <v>699</v>
      </c>
      <c r="W92" s="3" t="s">
        <v>700</v>
      </c>
      <c r="X92" s="2" t="n">
        <v>11</v>
      </c>
      <c r="Y92" s="2" t="n">
        <v>4</v>
      </c>
      <c r="Z92" s="2" t="s">
        <v>47</v>
      </c>
      <c r="AA92" s="3"/>
      <c r="AB92" s="5"/>
      <c r="AC92" s="5"/>
      <c r="AD92" s="3" t="s">
        <v>701</v>
      </c>
      <c r="AE92" s="3" t="s">
        <v>702</v>
      </c>
    </row>
    <row r="93" customFormat="false" ht="60" hidden="false" customHeight="true" outlineLevel="0" collapsed="false">
      <c r="A93" s="2" t="s">
        <v>703</v>
      </c>
      <c r="B93" s="2" t="n">
        <v>2022</v>
      </c>
      <c r="C93" s="2" t="s">
        <v>32</v>
      </c>
      <c r="D93" s="2" t="s">
        <v>33</v>
      </c>
      <c r="E93" s="2" t="s">
        <v>104</v>
      </c>
      <c r="F93" s="2" t="n">
        <v>3</v>
      </c>
      <c r="G93" s="2" t="s">
        <v>52</v>
      </c>
      <c r="H93" s="2" t="s">
        <v>105</v>
      </c>
      <c r="I93" s="2" t="n">
        <v>12</v>
      </c>
      <c r="J93" s="2" t="n">
        <v>4</v>
      </c>
      <c r="K93" s="2" t="s">
        <v>85</v>
      </c>
      <c r="L93" s="2" t="s">
        <v>86</v>
      </c>
      <c r="M93" s="2"/>
      <c r="N93" s="2"/>
      <c r="O93" s="3"/>
      <c r="P93" s="2" t="s">
        <v>54</v>
      </c>
      <c r="Q93" s="2" t="s">
        <v>55</v>
      </c>
      <c r="R93" s="2" t="s">
        <v>704</v>
      </c>
      <c r="S93" s="2" t="s">
        <v>705</v>
      </c>
      <c r="T93" s="3" t="s">
        <v>706</v>
      </c>
      <c r="U93" s="3"/>
      <c r="V93" s="3" t="s">
        <v>707</v>
      </c>
      <c r="W93" s="3" t="s">
        <v>708</v>
      </c>
      <c r="X93" s="2" t="n">
        <v>11</v>
      </c>
      <c r="Y93" s="2" t="n">
        <v>4</v>
      </c>
      <c r="Z93" s="2" t="s">
        <v>47</v>
      </c>
      <c r="AA93" s="3"/>
      <c r="AB93" s="5"/>
      <c r="AC93" s="5"/>
      <c r="AD93" s="3"/>
      <c r="AE93" s="3" t="s">
        <v>709</v>
      </c>
    </row>
    <row r="94" customFormat="false" ht="60" hidden="false" customHeight="true" outlineLevel="0" collapsed="false">
      <c r="A94" s="2" t="s">
        <v>710</v>
      </c>
      <c r="B94" s="2" t="n">
        <v>2022</v>
      </c>
      <c r="C94" s="2" t="s">
        <v>32</v>
      </c>
      <c r="D94" s="2" t="s">
        <v>33</v>
      </c>
      <c r="E94" s="2" t="s">
        <v>104</v>
      </c>
      <c r="F94" s="2" t="n">
        <v>4</v>
      </c>
      <c r="G94" s="2" t="s">
        <v>35</v>
      </c>
      <c r="H94" s="2" t="s">
        <v>105</v>
      </c>
      <c r="I94" s="2" t="n">
        <v>8</v>
      </c>
      <c r="J94" s="2" t="n">
        <v>0</v>
      </c>
      <c r="K94" s="2" t="s">
        <v>64</v>
      </c>
      <c r="L94" s="2" t="s">
        <v>163</v>
      </c>
      <c r="M94" s="2"/>
      <c r="N94" s="2"/>
      <c r="O94" s="3"/>
      <c r="P94" s="2" t="s">
        <v>133</v>
      </c>
      <c r="Q94" s="2" t="s">
        <v>134</v>
      </c>
      <c r="R94" s="2" t="s">
        <v>135</v>
      </c>
      <c r="S94" s="2" t="s">
        <v>711</v>
      </c>
      <c r="T94" s="3" t="s">
        <v>712</v>
      </c>
      <c r="U94" s="3"/>
      <c r="V94" s="3" t="s">
        <v>713</v>
      </c>
      <c r="W94" s="3" t="s">
        <v>714</v>
      </c>
      <c r="X94" s="2" t="n">
        <v>12</v>
      </c>
      <c r="Y94" s="2" t="n">
        <v>4</v>
      </c>
      <c r="Z94" s="2" t="s">
        <v>47</v>
      </c>
      <c r="AA94" s="3"/>
      <c r="AB94" s="5"/>
      <c r="AC94" s="5"/>
      <c r="AD94" s="3"/>
      <c r="AE94" s="3" t="s">
        <v>715</v>
      </c>
    </row>
    <row r="95" customFormat="false" ht="60" hidden="false" customHeight="true" outlineLevel="0" collapsed="false">
      <c r="A95" s="2" t="s">
        <v>716</v>
      </c>
      <c r="B95" s="2" t="n">
        <v>2022</v>
      </c>
      <c r="C95" s="2" t="s">
        <v>32</v>
      </c>
      <c r="D95" s="2" t="s">
        <v>33</v>
      </c>
      <c r="E95" s="2" t="s">
        <v>104</v>
      </c>
      <c r="F95" s="2" t="n">
        <v>4</v>
      </c>
      <c r="G95" s="2" t="s">
        <v>52</v>
      </c>
      <c r="H95" s="2" t="s">
        <v>105</v>
      </c>
      <c r="I95" s="2" t="n">
        <v>12</v>
      </c>
      <c r="J95" s="2" t="n">
        <v>4</v>
      </c>
      <c r="K95" s="2" t="s">
        <v>85</v>
      </c>
      <c r="L95" s="2" t="s">
        <v>86</v>
      </c>
      <c r="M95" s="2"/>
      <c r="N95" s="2"/>
      <c r="O95" s="3"/>
      <c r="P95" s="2" t="s">
        <v>133</v>
      </c>
      <c r="Q95" s="2" t="s">
        <v>134</v>
      </c>
      <c r="R95" s="2" t="s">
        <v>135</v>
      </c>
      <c r="S95" s="2" t="s">
        <v>717</v>
      </c>
      <c r="T95" s="3" t="s">
        <v>718</v>
      </c>
      <c r="U95" s="3"/>
      <c r="V95" s="3" t="s">
        <v>719</v>
      </c>
      <c r="W95" s="3" t="s">
        <v>720</v>
      </c>
      <c r="X95" s="2" t="n">
        <v>12</v>
      </c>
      <c r="Y95" s="2" t="n">
        <v>4</v>
      </c>
      <c r="Z95" s="2" t="s">
        <v>47</v>
      </c>
      <c r="AA95" s="3"/>
      <c r="AB95" s="5"/>
      <c r="AC95" s="5"/>
      <c r="AD95" s="3"/>
      <c r="AE95" s="3" t="s">
        <v>721</v>
      </c>
    </row>
    <row r="96" customFormat="false" ht="60" hidden="false" customHeight="true" outlineLevel="0" collapsed="false">
      <c r="A96" s="2" t="s">
        <v>722</v>
      </c>
      <c r="B96" s="2" t="n">
        <v>2022</v>
      </c>
      <c r="C96" s="2" t="s">
        <v>160</v>
      </c>
      <c r="D96" s="2" t="s">
        <v>161</v>
      </c>
      <c r="E96" s="2" t="s">
        <v>34</v>
      </c>
      <c r="F96" s="2" t="n">
        <v>1</v>
      </c>
      <c r="G96" s="2" t="s">
        <v>35</v>
      </c>
      <c r="H96" s="2"/>
      <c r="I96" s="2" t="n">
        <v>2</v>
      </c>
      <c r="J96" s="2" t="n">
        <v>0</v>
      </c>
      <c r="K96" s="2" t="s">
        <v>163</v>
      </c>
      <c r="L96" s="2"/>
      <c r="M96" s="2"/>
      <c r="N96" s="2"/>
      <c r="O96" s="3"/>
      <c r="P96" s="2" t="s">
        <v>39</v>
      </c>
      <c r="Q96" s="2" t="s">
        <v>40</v>
      </c>
      <c r="R96" s="2" t="s">
        <v>41</v>
      </c>
      <c r="S96" s="2" t="s">
        <v>42</v>
      </c>
      <c r="T96" s="3" t="s">
        <v>723</v>
      </c>
      <c r="U96" s="3" t="s">
        <v>724</v>
      </c>
      <c r="V96" s="3" t="s">
        <v>725</v>
      </c>
      <c r="W96" s="3" t="s">
        <v>726</v>
      </c>
      <c r="X96" s="2" t="n">
        <v>6</v>
      </c>
      <c r="Y96" s="2" t="n">
        <v>3</v>
      </c>
      <c r="Z96" s="2" t="s">
        <v>47</v>
      </c>
      <c r="AA96" s="3"/>
      <c r="AB96" s="5"/>
      <c r="AC96" s="5"/>
      <c r="AD96" s="3" t="s">
        <v>727</v>
      </c>
      <c r="AE96" s="3" t="s">
        <v>728</v>
      </c>
    </row>
    <row r="97" customFormat="false" ht="60" hidden="false" customHeight="true" outlineLevel="0" collapsed="false">
      <c r="A97" s="2" t="s">
        <v>729</v>
      </c>
      <c r="B97" s="2" t="n">
        <v>2022</v>
      </c>
      <c r="C97" s="2" t="s">
        <v>160</v>
      </c>
      <c r="D97" s="2" t="s">
        <v>161</v>
      </c>
      <c r="E97" s="2" t="s">
        <v>34</v>
      </c>
      <c r="F97" s="2" t="n">
        <v>1</v>
      </c>
      <c r="G97" s="2" t="s">
        <v>52</v>
      </c>
      <c r="H97" s="2"/>
      <c r="I97" s="2" t="n">
        <v>2</v>
      </c>
      <c r="J97" s="2" t="n">
        <v>0</v>
      </c>
      <c r="K97" s="2" t="s">
        <v>64</v>
      </c>
      <c r="L97" s="2"/>
      <c r="M97" s="2"/>
      <c r="N97" s="2"/>
      <c r="O97" s="3"/>
      <c r="P97" s="2" t="s">
        <v>39</v>
      </c>
      <c r="Q97" s="2" t="s">
        <v>40</v>
      </c>
      <c r="R97" s="2" t="s">
        <v>41</v>
      </c>
      <c r="S97" s="2" t="s">
        <v>42</v>
      </c>
      <c r="T97" s="3" t="s">
        <v>730</v>
      </c>
      <c r="U97" s="3" t="s">
        <v>724</v>
      </c>
      <c r="V97" s="3" t="s">
        <v>731</v>
      </c>
      <c r="W97" s="3" t="s">
        <v>732</v>
      </c>
      <c r="X97" s="2" t="n">
        <v>7</v>
      </c>
      <c r="Y97" s="2" t="n">
        <v>3</v>
      </c>
      <c r="Z97" s="2" t="s">
        <v>47</v>
      </c>
      <c r="AA97" s="3"/>
      <c r="AB97" s="5"/>
      <c r="AC97" s="5"/>
      <c r="AD97" s="3"/>
      <c r="AE97" s="3" t="s">
        <v>733</v>
      </c>
    </row>
    <row r="98" customFormat="false" ht="60" hidden="false" customHeight="true" outlineLevel="0" collapsed="false">
      <c r="A98" s="2" t="s">
        <v>734</v>
      </c>
      <c r="B98" s="2" t="n">
        <v>2022</v>
      </c>
      <c r="C98" s="2" t="s">
        <v>160</v>
      </c>
      <c r="D98" s="2" t="s">
        <v>161</v>
      </c>
      <c r="E98" s="2" t="s">
        <v>34</v>
      </c>
      <c r="F98" s="2" t="n">
        <v>1</v>
      </c>
      <c r="G98" s="2" t="s">
        <v>63</v>
      </c>
      <c r="H98" s="2"/>
      <c r="I98" s="2" t="n">
        <v>4</v>
      </c>
      <c r="J98" s="2" t="n">
        <v>0</v>
      </c>
      <c r="K98" s="2" t="s">
        <v>64</v>
      </c>
      <c r="L98" s="2"/>
      <c r="M98" s="2"/>
      <c r="N98" s="2"/>
      <c r="O98" s="3"/>
      <c r="P98" s="2" t="s">
        <v>39</v>
      </c>
      <c r="Q98" s="2" t="s">
        <v>40</v>
      </c>
      <c r="R98" s="2" t="s">
        <v>41</v>
      </c>
      <c r="S98" s="2" t="s">
        <v>405</v>
      </c>
      <c r="T98" s="3" t="s">
        <v>735</v>
      </c>
      <c r="U98" s="3" t="s">
        <v>724</v>
      </c>
      <c r="V98" s="3" t="s">
        <v>736</v>
      </c>
      <c r="W98" s="3" t="s">
        <v>737</v>
      </c>
      <c r="X98" s="2" t="n">
        <v>8</v>
      </c>
      <c r="Y98" s="2" t="n">
        <v>3</v>
      </c>
      <c r="Z98" s="2" t="s">
        <v>47</v>
      </c>
      <c r="AA98" s="3"/>
      <c r="AB98" s="5"/>
      <c r="AC98" s="5"/>
      <c r="AD98" s="3"/>
      <c r="AE98" s="3" t="s">
        <v>738</v>
      </c>
    </row>
    <row r="99" customFormat="false" ht="60" hidden="false" customHeight="true" outlineLevel="0" collapsed="false">
      <c r="A99" s="2" t="s">
        <v>739</v>
      </c>
      <c r="B99" s="2" t="n">
        <v>2022</v>
      </c>
      <c r="C99" s="2" t="s">
        <v>160</v>
      </c>
      <c r="D99" s="2" t="s">
        <v>161</v>
      </c>
      <c r="E99" s="2" t="s">
        <v>34</v>
      </c>
      <c r="F99" s="2" t="n">
        <v>1</v>
      </c>
      <c r="G99" s="2" t="s">
        <v>72</v>
      </c>
      <c r="H99" s="2"/>
      <c r="I99" s="2" t="n">
        <v>6</v>
      </c>
      <c r="J99" s="2" t="n">
        <v>0</v>
      </c>
      <c r="K99" s="2" t="s">
        <v>740</v>
      </c>
      <c r="L99" s="2"/>
      <c r="M99" s="2" t="s">
        <v>37</v>
      </c>
      <c r="N99" s="2"/>
      <c r="O99" s="3" t="s">
        <v>73</v>
      </c>
      <c r="P99" s="2" t="s">
        <v>39</v>
      </c>
      <c r="Q99" s="2" t="s">
        <v>40</v>
      </c>
      <c r="R99" s="2" t="s">
        <v>301</v>
      </c>
      <c r="S99" s="2" t="s">
        <v>741</v>
      </c>
      <c r="T99" s="3" t="s">
        <v>742</v>
      </c>
      <c r="U99" s="3" t="s">
        <v>724</v>
      </c>
      <c r="V99" s="3" t="s">
        <v>743</v>
      </c>
      <c r="W99" s="3" t="s">
        <v>744</v>
      </c>
      <c r="X99" s="2" t="n">
        <v>9</v>
      </c>
      <c r="Y99" s="2" t="n">
        <v>3</v>
      </c>
      <c r="Z99" s="2" t="s">
        <v>47</v>
      </c>
      <c r="AA99" s="3"/>
      <c r="AB99" s="5"/>
      <c r="AC99" s="5"/>
      <c r="AD99" s="3" t="s">
        <v>745</v>
      </c>
      <c r="AE99" s="3" t="s">
        <v>746</v>
      </c>
    </row>
    <row r="100" customFormat="false" ht="60" hidden="false" customHeight="true" outlineLevel="0" collapsed="false">
      <c r="A100" s="2" t="s">
        <v>747</v>
      </c>
      <c r="B100" s="2" t="n">
        <v>2022</v>
      </c>
      <c r="C100" s="2" t="s">
        <v>160</v>
      </c>
      <c r="D100" s="2" t="s">
        <v>161</v>
      </c>
      <c r="E100" s="2" t="s">
        <v>34</v>
      </c>
      <c r="F100" s="2" t="n">
        <v>1</v>
      </c>
      <c r="G100" s="2" t="s">
        <v>84</v>
      </c>
      <c r="H100" s="2"/>
      <c r="I100" s="2" t="n">
        <v>6</v>
      </c>
      <c r="J100" s="2" t="n">
        <v>1</v>
      </c>
      <c r="K100" s="2" t="s">
        <v>85</v>
      </c>
      <c r="L100" s="2"/>
      <c r="M100" s="2"/>
      <c r="N100" s="2"/>
      <c r="O100" s="3" t="s">
        <v>748</v>
      </c>
      <c r="P100" s="2" t="s">
        <v>87</v>
      </c>
      <c r="Q100" s="2" t="s">
        <v>88</v>
      </c>
      <c r="R100" s="2" t="s">
        <v>309</v>
      </c>
      <c r="S100" s="2" t="s">
        <v>749</v>
      </c>
      <c r="T100" s="3" t="s">
        <v>750</v>
      </c>
      <c r="U100" s="3" t="s">
        <v>724</v>
      </c>
      <c r="V100" s="3" t="s">
        <v>751</v>
      </c>
      <c r="W100" s="3" t="s">
        <v>752</v>
      </c>
      <c r="X100" s="2" t="n">
        <v>10</v>
      </c>
      <c r="Y100" s="2" t="n">
        <v>3</v>
      </c>
      <c r="Z100" s="2" t="s">
        <v>47</v>
      </c>
      <c r="AA100" s="3"/>
      <c r="AB100" s="5"/>
      <c r="AC100" s="5"/>
      <c r="AD100" s="3"/>
      <c r="AE100" s="3" t="s">
        <v>753</v>
      </c>
    </row>
    <row r="101" customFormat="false" ht="60" hidden="false" customHeight="true" outlineLevel="0" collapsed="false">
      <c r="A101" s="2" t="s">
        <v>754</v>
      </c>
      <c r="B101" s="2" t="n">
        <v>2022</v>
      </c>
      <c r="C101" s="2" t="s">
        <v>160</v>
      </c>
      <c r="D101" s="2" t="s">
        <v>161</v>
      </c>
      <c r="E101" s="2" t="s">
        <v>104</v>
      </c>
      <c r="F101" s="2" t="n">
        <v>2</v>
      </c>
      <c r="G101" s="2" t="s">
        <v>35</v>
      </c>
      <c r="H101" s="2" t="s">
        <v>105</v>
      </c>
      <c r="I101" s="2" t="n">
        <v>8</v>
      </c>
      <c r="J101" s="2" t="n">
        <v>0</v>
      </c>
      <c r="K101" s="2" t="s">
        <v>64</v>
      </c>
      <c r="L101" s="2"/>
      <c r="M101" s="2"/>
      <c r="N101" s="2"/>
      <c r="O101" s="3"/>
      <c r="P101" s="2" t="s">
        <v>209</v>
      </c>
      <c r="Q101" s="2" t="s">
        <v>210</v>
      </c>
      <c r="R101" s="2" t="s">
        <v>340</v>
      </c>
      <c r="S101" s="2" t="s">
        <v>755</v>
      </c>
      <c r="T101" s="3" t="s">
        <v>756</v>
      </c>
      <c r="U101" s="3"/>
      <c r="V101" s="3" t="s">
        <v>757</v>
      </c>
      <c r="W101" s="3" t="s">
        <v>758</v>
      </c>
      <c r="X101" s="2" t="n">
        <v>12</v>
      </c>
      <c r="Y101" s="2" t="n">
        <v>3</v>
      </c>
      <c r="Z101" s="2" t="s">
        <v>47</v>
      </c>
      <c r="AA101" s="3"/>
      <c r="AB101" s="5"/>
      <c r="AC101" s="5"/>
      <c r="AD101" s="3"/>
      <c r="AE101" s="3" t="s">
        <v>759</v>
      </c>
    </row>
    <row r="102" customFormat="false" ht="60" hidden="false" customHeight="true" outlineLevel="0" collapsed="false">
      <c r="A102" s="2" t="s">
        <v>760</v>
      </c>
      <c r="B102" s="2" t="n">
        <v>2022</v>
      </c>
      <c r="C102" s="2" t="s">
        <v>160</v>
      </c>
      <c r="D102" s="2" t="s">
        <v>161</v>
      </c>
      <c r="E102" s="2" t="s">
        <v>104</v>
      </c>
      <c r="F102" s="2" t="n">
        <v>2</v>
      </c>
      <c r="G102" s="2" t="s">
        <v>52</v>
      </c>
      <c r="H102" s="2" t="s">
        <v>105</v>
      </c>
      <c r="I102" s="2" t="n">
        <v>12</v>
      </c>
      <c r="J102" s="2" t="n">
        <v>4</v>
      </c>
      <c r="K102" s="2" t="s">
        <v>85</v>
      </c>
      <c r="L102" s="2"/>
      <c r="M102" s="2"/>
      <c r="N102" s="2"/>
      <c r="O102" s="3" t="s">
        <v>527</v>
      </c>
      <c r="P102" s="2" t="s">
        <v>433</v>
      </c>
      <c r="Q102" s="2" t="s">
        <v>434</v>
      </c>
      <c r="R102" s="2" t="s">
        <v>435</v>
      </c>
      <c r="S102" s="2" t="s">
        <v>436</v>
      </c>
      <c r="T102" s="3" t="s">
        <v>761</v>
      </c>
      <c r="U102" s="3"/>
      <c r="V102" s="3" t="s">
        <v>762</v>
      </c>
      <c r="W102" s="3" t="s">
        <v>763</v>
      </c>
      <c r="X102" s="2" t="n">
        <v>13</v>
      </c>
      <c r="Y102" s="2" t="n">
        <v>3</v>
      </c>
      <c r="Z102" s="2" t="s">
        <v>47</v>
      </c>
      <c r="AA102" s="3"/>
      <c r="AB102" s="5"/>
      <c r="AC102" s="5"/>
      <c r="AD102" s="3"/>
      <c r="AE102" s="3" t="s">
        <v>764</v>
      </c>
    </row>
    <row r="103" customFormat="false" ht="60" hidden="false" customHeight="true" outlineLevel="0" collapsed="false">
      <c r="A103" s="2" t="s">
        <v>765</v>
      </c>
      <c r="B103" s="2" t="n">
        <v>2022</v>
      </c>
      <c r="C103" s="2" t="s">
        <v>160</v>
      </c>
      <c r="D103" s="2" t="s">
        <v>161</v>
      </c>
      <c r="E103" s="2" t="s">
        <v>104</v>
      </c>
      <c r="F103" s="2" t="n">
        <v>3</v>
      </c>
      <c r="G103" s="2" t="s">
        <v>35</v>
      </c>
      <c r="H103" s="2" t="s">
        <v>105</v>
      </c>
      <c r="I103" s="2" t="n">
        <v>8</v>
      </c>
      <c r="J103" s="2" t="n">
        <v>0</v>
      </c>
      <c r="K103" s="2" t="s">
        <v>64</v>
      </c>
      <c r="L103" s="2"/>
      <c r="M103" s="2"/>
      <c r="N103" s="2"/>
      <c r="O103" s="3"/>
      <c r="P103" s="2" t="s">
        <v>694</v>
      </c>
      <c r="Q103" s="2" t="s">
        <v>695</v>
      </c>
      <c r="R103" s="2" t="s">
        <v>696</v>
      </c>
      <c r="S103" s="2" t="s">
        <v>697</v>
      </c>
      <c r="T103" s="3" t="s">
        <v>766</v>
      </c>
      <c r="U103" s="3"/>
      <c r="V103" s="3" t="s">
        <v>767</v>
      </c>
      <c r="W103" s="3" t="s">
        <v>768</v>
      </c>
      <c r="X103" s="2" t="n">
        <v>14</v>
      </c>
      <c r="Y103" s="2" t="n">
        <v>3</v>
      </c>
      <c r="Z103" s="2" t="s">
        <v>47</v>
      </c>
      <c r="AA103" s="3"/>
      <c r="AB103" s="5"/>
      <c r="AC103" s="5"/>
      <c r="AD103" s="3"/>
      <c r="AE103" s="3" t="s">
        <v>769</v>
      </c>
    </row>
    <row r="104" customFormat="false" ht="60" hidden="false" customHeight="true" outlineLevel="0" collapsed="false">
      <c r="A104" s="2" t="s">
        <v>770</v>
      </c>
      <c r="B104" s="2" t="n">
        <v>2022</v>
      </c>
      <c r="C104" s="2" t="s">
        <v>160</v>
      </c>
      <c r="D104" s="2" t="s">
        <v>161</v>
      </c>
      <c r="E104" s="2" t="s">
        <v>104</v>
      </c>
      <c r="F104" s="2" t="n">
        <v>3</v>
      </c>
      <c r="G104" s="2" t="s">
        <v>52</v>
      </c>
      <c r="H104" s="2" t="s">
        <v>105</v>
      </c>
      <c r="I104" s="2" t="n">
        <v>12</v>
      </c>
      <c r="J104" s="2" t="n">
        <v>4</v>
      </c>
      <c r="K104" s="2" t="s">
        <v>85</v>
      </c>
      <c r="L104" s="2"/>
      <c r="M104" s="2"/>
      <c r="N104" s="2"/>
      <c r="O104" s="3" t="s">
        <v>527</v>
      </c>
      <c r="P104" s="2" t="s">
        <v>151</v>
      </c>
      <c r="Q104" s="2" t="s">
        <v>152</v>
      </c>
      <c r="R104" s="2" t="s">
        <v>771</v>
      </c>
      <c r="S104" s="2" t="s">
        <v>772</v>
      </c>
      <c r="T104" s="3" t="s">
        <v>773</v>
      </c>
      <c r="U104" s="3"/>
      <c r="V104" s="3" t="s">
        <v>774</v>
      </c>
      <c r="W104" s="3" t="s">
        <v>775</v>
      </c>
      <c r="X104" s="2" t="n">
        <v>15</v>
      </c>
      <c r="Y104" s="2" t="n">
        <v>3</v>
      </c>
      <c r="Z104" s="2" t="s">
        <v>47</v>
      </c>
      <c r="AA104" s="3"/>
      <c r="AB104" s="5"/>
      <c r="AC104" s="5"/>
      <c r="AD104" s="3"/>
      <c r="AE104" s="3" t="s">
        <v>776</v>
      </c>
    </row>
    <row r="105" customFormat="false" ht="60" hidden="false" customHeight="true" outlineLevel="0" collapsed="false">
      <c r="A105" s="2" t="s">
        <v>777</v>
      </c>
      <c r="B105" s="2" t="n">
        <v>2022</v>
      </c>
      <c r="C105" s="2" t="s">
        <v>160</v>
      </c>
      <c r="D105" s="2" t="s">
        <v>161</v>
      </c>
      <c r="E105" s="2" t="s">
        <v>104</v>
      </c>
      <c r="F105" s="2" t="n">
        <v>4</v>
      </c>
      <c r="G105" s="2" t="s">
        <v>35</v>
      </c>
      <c r="H105" s="2" t="s">
        <v>105</v>
      </c>
      <c r="I105" s="2" t="n">
        <v>8</v>
      </c>
      <c r="J105" s="2" t="n">
        <v>0</v>
      </c>
      <c r="K105" s="2" t="s">
        <v>64</v>
      </c>
      <c r="L105" s="2"/>
      <c r="M105" s="2"/>
      <c r="N105" s="2"/>
      <c r="O105" s="3"/>
      <c r="P105" s="2" t="s">
        <v>74</v>
      </c>
      <c r="Q105" s="2" t="s">
        <v>75</v>
      </c>
      <c r="R105" s="2" t="s">
        <v>239</v>
      </c>
      <c r="S105" s="2" t="s">
        <v>778</v>
      </c>
      <c r="T105" s="3" t="s">
        <v>779</v>
      </c>
      <c r="U105" s="3"/>
      <c r="V105" s="3" t="s">
        <v>780</v>
      </c>
      <c r="W105" s="3" t="s">
        <v>781</v>
      </c>
      <c r="X105" s="2" t="n">
        <v>16</v>
      </c>
      <c r="Y105" s="2" t="n">
        <v>3</v>
      </c>
      <c r="Z105" s="2" t="s">
        <v>47</v>
      </c>
      <c r="AA105" s="3"/>
      <c r="AB105" s="5"/>
      <c r="AC105" s="5"/>
      <c r="AD105" s="3"/>
      <c r="AE105" s="3" t="s">
        <v>782</v>
      </c>
    </row>
    <row r="106" customFormat="false" ht="60" hidden="false" customHeight="true" outlineLevel="0" collapsed="false">
      <c r="A106" s="2" t="s">
        <v>783</v>
      </c>
      <c r="B106" s="2" t="n">
        <v>2022</v>
      </c>
      <c r="C106" s="2" t="s">
        <v>160</v>
      </c>
      <c r="D106" s="2" t="s">
        <v>161</v>
      </c>
      <c r="E106" s="2" t="s">
        <v>104</v>
      </c>
      <c r="F106" s="2" t="n">
        <v>4</v>
      </c>
      <c r="G106" s="2" t="s">
        <v>52</v>
      </c>
      <c r="H106" s="2" t="s">
        <v>105</v>
      </c>
      <c r="I106" s="2" t="n">
        <v>12</v>
      </c>
      <c r="J106" s="2" t="n">
        <v>4</v>
      </c>
      <c r="K106" s="2" t="s">
        <v>85</v>
      </c>
      <c r="L106" s="2"/>
      <c r="M106" s="2"/>
      <c r="N106" s="2"/>
      <c r="O106" s="3" t="s">
        <v>527</v>
      </c>
      <c r="P106" s="2" t="s">
        <v>133</v>
      </c>
      <c r="Q106" s="2" t="s">
        <v>134</v>
      </c>
      <c r="R106" s="2" t="s">
        <v>135</v>
      </c>
      <c r="S106" s="2" t="s">
        <v>136</v>
      </c>
      <c r="T106" s="3" t="s">
        <v>784</v>
      </c>
      <c r="U106" s="3"/>
      <c r="V106" s="3" t="s">
        <v>785</v>
      </c>
      <c r="W106" s="3" t="s">
        <v>786</v>
      </c>
      <c r="X106" s="2" t="n">
        <v>17</v>
      </c>
      <c r="Y106" s="2" t="n">
        <v>3</v>
      </c>
      <c r="Z106" s="2" t="s">
        <v>47</v>
      </c>
      <c r="AA106" s="3"/>
      <c r="AB106" s="5"/>
      <c r="AC106" s="5"/>
      <c r="AD106" s="3"/>
      <c r="AE106" s="3" t="s">
        <v>787</v>
      </c>
    </row>
    <row r="107" customFormat="false" ht="60" hidden="false" customHeight="true" outlineLevel="0" collapsed="false">
      <c r="A107" s="2" t="s">
        <v>788</v>
      </c>
      <c r="B107" s="2" t="n">
        <v>2022</v>
      </c>
      <c r="C107" s="2" t="s">
        <v>160</v>
      </c>
      <c r="D107" s="2" t="s">
        <v>33</v>
      </c>
      <c r="E107" s="2" t="s">
        <v>34</v>
      </c>
      <c r="F107" s="2" t="n">
        <v>1</v>
      </c>
      <c r="G107" s="2" t="s">
        <v>162</v>
      </c>
      <c r="H107" s="2"/>
      <c r="I107" s="2" t="n">
        <v>1</v>
      </c>
      <c r="J107" s="2" t="n">
        <v>0</v>
      </c>
      <c r="K107" s="2" t="s">
        <v>252</v>
      </c>
      <c r="L107" s="2"/>
      <c r="M107" s="2"/>
      <c r="N107" s="2"/>
      <c r="O107" s="3"/>
      <c r="P107" s="2" t="s">
        <v>39</v>
      </c>
      <c r="Q107" s="2" t="s">
        <v>40</v>
      </c>
      <c r="R107" s="2" t="s">
        <v>41</v>
      </c>
      <c r="S107" s="2" t="s">
        <v>42</v>
      </c>
      <c r="T107" s="3" t="s">
        <v>789</v>
      </c>
      <c r="U107" s="3" t="s">
        <v>790</v>
      </c>
      <c r="V107" s="3" t="s">
        <v>791</v>
      </c>
      <c r="W107" s="3" t="s">
        <v>792</v>
      </c>
      <c r="X107" s="2" t="n">
        <v>6</v>
      </c>
      <c r="Y107" s="2" t="n">
        <v>3</v>
      </c>
      <c r="Z107" s="2" t="s">
        <v>47</v>
      </c>
      <c r="AA107" s="4" t="s">
        <v>323</v>
      </c>
      <c r="AB107" s="5"/>
      <c r="AC107" s="5"/>
      <c r="AD107" s="3" t="s">
        <v>793</v>
      </c>
      <c r="AE107" s="3" t="s">
        <v>794</v>
      </c>
    </row>
    <row r="108" customFormat="false" ht="60" hidden="false" customHeight="true" outlineLevel="0" collapsed="false">
      <c r="A108" s="2" t="s">
        <v>795</v>
      </c>
      <c r="B108" s="2" t="n">
        <v>2022</v>
      </c>
      <c r="C108" s="2" t="s">
        <v>160</v>
      </c>
      <c r="D108" s="2" t="s">
        <v>33</v>
      </c>
      <c r="E108" s="2" t="s">
        <v>34</v>
      </c>
      <c r="F108" s="2" t="n">
        <v>1</v>
      </c>
      <c r="G108" s="2" t="s">
        <v>174</v>
      </c>
      <c r="H108" s="2"/>
      <c r="I108" s="2" t="n">
        <v>1</v>
      </c>
      <c r="J108" s="2" t="n">
        <v>0</v>
      </c>
      <c r="K108" s="2" t="s">
        <v>53</v>
      </c>
      <c r="L108" s="2"/>
      <c r="M108" s="2"/>
      <c r="N108" s="2"/>
      <c r="O108" s="3"/>
      <c r="P108" s="2" t="s">
        <v>39</v>
      </c>
      <c r="Q108" s="2" t="s">
        <v>40</v>
      </c>
      <c r="R108" s="2" t="s">
        <v>41</v>
      </c>
      <c r="S108" s="2" t="s">
        <v>796</v>
      </c>
      <c r="T108" s="3" t="s">
        <v>797</v>
      </c>
      <c r="U108" s="3" t="s">
        <v>790</v>
      </c>
      <c r="V108" s="3" t="s">
        <v>798</v>
      </c>
      <c r="W108" s="3" t="s">
        <v>799</v>
      </c>
      <c r="X108" s="2" t="n">
        <v>6</v>
      </c>
      <c r="Y108" s="2" t="n">
        <v>3</v>
      </c>
      <c r="Z108" s="2" t="s">
        <v>47</v>
      </c>
      <c r="AA108" s="4" t="s">
        <v>323</v>
      </c>
      <c r="AB108" s="5"/>
      <c r="AC108" s="5"/>
      <c r="AD108" s="3"/>
      <c r="AE108" s="3" t="s">
        <v>800</v>
      </c>
    </row>
    <row r="109" customFormat="false" ht="60" hidden="false" customHeight="true" outlineLevel="0" collapsed="false">
      <c r="A109" s="2" t="s">
        <v>801</v>
      </c>
      <c r="B109" s="2" t="n">
        <v>2022</v>
      </c>
      <c r="C109" s="2" t="s">
        <v>160</v>
      </c>
      <c r="D109" s="2" t="s">
        <v>33</v>
      </c>
      <c r="E109" s="2" t="s">
        <v>34</v>
      </c>
      <c r="F109" s="2" t="n">
        <v>1</v>
      </c>
      <c r="G109" s="2" t="s">
        <v>802</v>
      </c>
      <c r="H109" s="2"/>
      <c r="I109" s="2" t="n">
        <v>2</v>
      </c>
      <c r="J109" s="2" t="n">
        <v>0</v>
      </c>
      <c r="K109" s="2" t="s">
        <v>64</v>
      </c>
      <c r="L109" s="2"/>
      <c r="M109" s="2"/>
      <c r="N109" s="2"/>
      <c r="O109" s="3"/>
      <c r="P109" s="2" t="s">
        <v>39</v>
      </c>
      <c r="Q109" s="2" t="s">
        <v>40</v>
      </c>
      <c r="R109" s="2" t="s">
        <v>41</v>
      </c>
      <c r="S109" s="2" t="s">
        <v>664</v>
      </c>
      <c r="T109" s="3" t="s">
        <v>803</v>
      </c>
      <c r="U109" s="3" t="s">
        <v>790</v>
      </c>
      <c r="V109" s="3" t="s">
        <v>804</v>
      </c>
      <c r="W109" s="3" t="s">
        <v>805</v>
      </c>
      <c r="X109" s="2" t="n">
        <v>6</v>
      </c>
      <c r="Y109" s="2" t="n">
        <v>3</v>
      </c>
      <c r="Z109" s="2" t="s">
        <v>47</v>
      </c>
      <c r="AA109" s="4" t="s">
        <v>323</v>
      </c>
      <c r="AB109" s="5"/>
      <c r="AC109" s="5"/>
      <c r="AD109" s="3"/>
      <c r="AE109" s="3" t="s">
        <v>806</v>
      </c>
    </row>
    <row r="110" customFormat="false" ht="60" hidden="false" customHeight="true" outlineLevel="0" collapsed="false">
      <c r="A110" s="2" t="s">
        <v>807</v>
      </c>
      <c r="B110" s="2" t="n">
        <v>2022</v>
      </c>
      <c r="C110" s="2" t="s">
        <v>160</v>
      </c>
      <c r="D110" s="2" t="s">
        <v>33</v>
      </c>
      <c r="E110" s="2" t="s">
        <v>34</v>
      </c>
      <c r="F110" s="2" t="n">
        <v>1</v>
      </c>
      <c r="G110" s="2" t="s">
        <v>52</v>
      </c>
      <c r="H110" s="2"/>
      <c r="I110" s="2" t="n">
        <v>4</v>
      </c>
      <c r="J110" s="2" t="n">
        <v>0</v>
      </c>
      <c r="K110" s="2" t="s">
        <v>64</v>
      </c>
      <c r="L110" s="2"/>
      <c r="M110" s="2"/>
      <c r="N110" s="2"/>
      <c r="O110" s="3" t="s">
        <v>308</v>
      </c>
      <c r="P110" s="2" t="s">
        <v>209</v>
      </c>
      <c r="Q110" s="2" t="s">
        <v>210</v>
      </c>
      <c r="R110" s="2" t="s">
        <v>340</v>
      </c>
      <c r="S110" s="2" t="s">
        <v>755</v>
      </c>
      <c r="T110" s="3" t="s">
        <v>808</v>
      </c>
      <c r="U110" s="3" t="s">
        <v>790</v>
      </c>
      <c r="V110" s="3" t="s">
        <v>809</v>
      </c>
      <c r="W110" s="3" t="s">
        <v>810</v>
      </c>
      <c r="X110" s="2" t="n">
        <v>6</v>
      </c>
      <c r="Y110" s="2" t="n">
        <v>3</v>
      </c>
      <c r="Z110" s="2" t="s">
        <v>47</v>
      </c>
      <c r="AA110" s="4" t="s">
        <v>69</v>
      </c>
      <c r="AB110" s="5"/>
      <c r="AC110" s="5"/>
      <c r="AD110" s="3"/>
      <c r="AE110" s="3" t="s">
        <v>811</v>
      </c>
    </row>
    <row r="111" customFormat="false" ht="60" hidden="false" customHeight="true" outlineLevel="0" collapsed="false">
      <c r="A111" s="2" t="s">
        <v>812</v>
      </c>
      <c r="B111" s="2" t="n">
        <v>2022</v>
      </c>
      <c r="C111" s="2" t="s">
        <v>160</v>
      </c>
      <c r="D111" s="2" t="s">
        <v>33</v>
      </c>
      <c r="E111" s="2" t="s">
        <v>34</v>
      </c>
      <c r="F111" s="2" t="n">
        <v>1</v>
      </c>
      <c r="G111" s="2" t="s">
        <v>63</v>
      </c>
      <c r="H111" s="2"/>
      <c r="I111" s="2" t="n">
        <v>6</v>
      </c>
      <c r="J111" s="2" t="n">
        <v>1</v>
      </c>
      <c r="K111" s="2" t="s">
        <v>813</v>
      </c>
      <c r="L111" s="2"/>
      <c r="M111" s="2"/>
      <c r="N111" s="2"/>
      <c r="O111" s="3"/>
      <c r="P111" s="2" t="s">
        <v>54</v>
      </c>
      <c r="Q111" s="2" t="s">
        <v>55</v>
      </c>
      <c r="R111" s="2" t="s">
        <v>814</v>
      </c>
      <c r="S111" s="2" t="s">
        <v>815</v>
      </c>
      <c r="T111" s="3" t="s">
        <v>816</v>
      </c>
      <c r="U111" s="3" t="s">
        <v>790</v>
      </c>
      <c r="V111" s="3" t="s">
        <v>817</v>
      </c>
      <c r="W111" s="3" t="s">
        <v>818</v>
      </c>
      <c r="X111" s="2" t="n">
        <v>7</v>
      </c>
      <c r="Y111" s="2" t="n">
        <v>3</v>
      </c>
      <c r="Z111" s="2" t="s">
        <v>47</v>
      </c>
      <c r="AA111" s="4" t="s">
        <v>69</v>
      </c>
      <c r="AB111" s="5"/>
      <c r="AC111" s="5"/>
      <c r="AD111" s="3"/>
      <c r="AE111" s="3" t="s">
        <v>819</v>
      </c>
    </row>
    <row r="112" customFormat="false" ht="60" hidden="false" customHeight="true" outlineLevel="0" collapsed="false">
      <c r="A112" s="2" t="s">
        <v>820</v>
      </c>
      <c r="B112" s="2" t="n">
        <v>2022</v>
      </c>
      <c r="C112" s="2" t="s">
        <v>160</v>
      </c>
      <c r="D112" s="2" t="s">
        <v>33</v>
      </c>
      <c r="E112" s="2" t="s">
        <v>34</v>
      </c>
      <c r="F112" s="2" t="n">
        <v>1</v>
      </c>
      <c r="G112" s="2" t="s">
        <v>72</v>
      </c>
      <c r="H112" s="2"/>
      <c r="I112" s="2" t="n">
        <v>6</v>
      </c>
      <c r="J112" s="2" t="n">
        <v>1</v>
      </c>
      <c r="K112" s="2" t="s">
        <v>85</v>
      </c>
      <c r="L112" s="2"/>
      <c r="M112" s="2"/>
      <c r="N112" s="2"/>
      <c r="O112" s="3"/>
      <c r="P112" s="2" t="s">
        <v>74</v>
      </c>
      <c r="Q112" s="2" t="s">
        <v>75</v>
      </c>
      <c r="R112" s="2" t="s">
        <v>821</v>
      </c>
      <c r="S112" s="2" t="s">
        <v>822</v>
      </c>
      <c r="T112" s="3" t="s">
        <v>823</v>
      </c>
      <c r="U112" s="3" t="s">
        <v>790</v>
      </c>
      <c r="V112" s="3" t="s">
        <v>824</v>
      </c>
      <c r="W112" s="3" t="s">
        <v>825</v>
      </c>
      <c r="X112" s="2" t="n">
        <v>8</v>
      </c>
      <c r="Y112" s="2" t="n">
        <v>3</v>
      </c>
      <c r="Z112" s="2" t="s">
        <v>47</v>
      </c>
      <c r="AA112" s="4" t="s">
        <v>81</v>
      </c>
      <c r="AB112" s="5"/>
      <c r="AC112" s="5"/>
      <c r="AD112" s="3"/>
      <c r="AE112" s="3" t="s">
        <v>826</v>
      </c>
    </row>
    <row r="113" customFormat="false" ht="60" hidden="false" customHeight="true" outlineLevel="0" collapsed="false">
      <c r="A113" s="2" t="s">
        <v>827</v>
      </c>
      <c r="B113" s="2" t="n">
        <v>2022</v>
      </c>
      <c r="C113" s="2" t="s">
        <v>160</v>
      </c>
      <c r="D113" s="2" t="s">
        <v>33</v>
      </c>
      <c r="E113" s="2" t="s">
        <v>104</v>
      </c>
      <c r="F113" s="2" t="n">
        <v>2</v>
      </c>
      <c r="G113" s="2" t="s">
        <v>35</v>
      </c>
      <c r="H113" s="2" t="s">
        <v>105</v>
      </c>
      <c r="I113" s="2" t="n">
        <v>8</v>
      </c>
      <c r="J113" s="2" t="n">
        <v>0</v>
      </c>
      <c r="K113" s="2" t="s">
        <v>64</v>
      </c>
      <c r="L113" s="2"/>
      <c r="M113" s="2" t="s">
        <v>37</v>
      </c>
      <c r="N113" s="2"/>
      <c r="O113" s="3" t="s">
        <v>73</v>
      </c>
      <c r="P113" s="2" t="s">
        <v>106</v>
      </c>
      <c r="Q113" s="2" t="s">
        <v>107</v>
      </c>
      <c r="R113" s="2" t="s">
        <v>828</v>
      </c>
      <c r="S113" s="2" t="s">
        <v>829</v>
      </c>
      <c r="T113" s="3" t="s">
        <v>830</v>
      </c>
      <c r="U113" s="3"/>
      <c r="V113" s="3" t="s">
        <v>831</v>
      </c>
      <c r="W113" s="3" t="s">
        <v>832</v>
      </c>
      <c r="X113" s="2" t="n">
        <v>9</v>
      </c>
      <c r="Y113" s="2" t="n">
        <v>4</v>
      </c>
      <c r="Z113" s="2" t="s">
        <v>47</v>
      </c>
      <c r="AA113" s="3"/>
      <c r="AB113" s="5"/>
      <c r="AC113" s="5"/>
      <c r="AD113" s="3"/>
      <c r="AE113" s="3" t="s">
        <v>833</v>
      </c>
    </row>
    <row r="114" customFormat="false" ht="60" hidden="false" customHeight="true" outlineLevel="0" collapsed="false">
      <c r="A114" s="2" t="s">
        <v>834</v>
      </c>
      <c r="B114" s="2" t="n">
        <v>2022</v>
      </c>
      <c r="C114" s="2" t="s">
        <v>160</v>
      </c>
      <c r="D114" s="2" t="s">
        <v>33</v>
      </c>
      <c r="E114" s="2" t="s">
        <v>104</v>
      </c>
      <c r="F114" s="2" t="n">
        <v>2</v>
      </c>
      <c r="G114" s="2" t="s">
        <v>52</v>
      </c>
      <c r="H114" s="2" t="s">
        <v>105</v>
      </c>
      <c r="I114" s="2" t="n">
        <v>12</v>
      </c>
      <c r="J114" s="2" t="n">
        <v>4</v>
      </c>
      <c r="K114" s="2" t="s">
        <v>85</v>
      </c>
      <c r="L114" s="2" t="s">
        <v>86</v>
      </c>
      <c r="M114" s="2"/>
      <c r="N114" s="2"/>
      <c r="O114" s="3"/>
      <c r="P114" s="2" t="s">
        <v>433</v>
      </c>
      <c r="Q114" s="2" t="s">
        <v>434</v>
      </c>
      <c r="R114" s="2" t="s">
        <v>435</v>
      </c>
      <c r="S114" s="2" t="s">
        <v>436</v>
      </c>
      <c r="T114" s="3" t="s">
        <v>437</v>
      </c>
      <c r="U114" s="3"/>
      <c r="V114" s="3" t="s">
        <v>835</v>
      </c>
      <c r="W114" s="3" t="s">
        <v>836</v>
      </c>
      <c r="X114" s="2" t="n">
        <v>10</v>
      </c>
      <c r="Y114" s="2" t="n">
        <v>4</v>
      </c>
      <c r="Z114" s="2" t="s">
        <v>47</v>
      </c>
      <c r="AA114" s="3"/>
      <c r="AB114" s="5"/>
      <c r="AC114" s="5"/>
      <c r="AD114" s="3"/>
      <c r="AE114" s="3" t="s">
        <v>837</v>
      </c>
    </row>
    <row r="115" customFormat="false" ht="60" hidden="false" customHeight="true" outlineLevel="0" collapsed="false">
      <c r="A115" s="2" t="s">
        <v>838</v>
      </c>
      <c r="B115" s="2" t="n">
        <v>2022</v>
      </c>
      <c r="C115" s="2" t="s">
        <v>160</v>
      </c>
      <c r="D115" s="2" t="s">
        <v>33</v>
      </c>
      <c r="E115" s="2" t="s">
        <v>104</v>
      </c>
      <c r="F115" s="2" t="n">
        <v>3</v>
      </c>
      <c r="G115" s="2" t="s">
        <v>35</v>
      </c>
      <c r="H115" s="2" t="s">
        <v>105</v>
      </c>
      <c r="I115" s="2" t="n">
        <v>8</v>
      </c>
      <c r="J115" s="2" t="n">
        <v>0</v>
      </c>
      <c r="K115" s="2" t="s">
        <v>64</v>
      </c>
      <c r="L115" s="2"/>
      <c r="M115" s="2" t="s">
        <v>37</v>
      </c>
      <c r="N115" s="2"/>
      <c r="O115" s="3" t="s">
        <v>73</v>
      </c>
      <c r="P115" s="2" t="s">
        <v>124</v>
      </c>
      <c r="Q115" s="2" t="s">
        <v>125</v>
      </c>
      <c r="R115" s="2" t="s">
        <v>839</v>
      </c>
      <c r="S115" s="2" t="s">
        <v>840</v>
      </c>
      <c r="T115" s="3" t="s">
        <v>841</v>
      </c>
      <c r="U115" s="3"/>
      <c r="V115" s="3" t="s">
        <v>842</v>
      </c>
      <c r="W115" s="3" t="s">
        <v>843</v>
      </c>
      <c r="X115" s="2" t="n">
        <v>11</v>
      </c>
      <c r="Y115" s="2" t="n">
        <v>4</v>
      </c>
      <c r="Z115" s="2" t="s">
        <v>47</v>
      </c>
      <c r="AA115" s="3"/>
      <c r="AB115" s="5"/>
      <c r="AC115" s="5"/>
      <c r="AD115" s="3" t="s">
        <v>844</v>
      </c>
      <c r="AE115" s="3" t="s">
        <v>845</v>
      </c>
    </row>
    <row r="116" customFormat="false" ht="60" hidden="false" customHeight="true" outlineLevel="0" collapsed="false">
      <c r="A116" s="2" t="s">
        <v>846</v>
      </c>
      <c r="B116" s="2" t="n">
        <v>2022</v>
      </c>
      <c r="C116" s="2" t="s">
        <v>160</v>
      </c>
      <c r="D116" s="2" t="s">
        <v>33</v>
      </c>
      <c r="E116" s="2" t="s">
        <v>104</v>
      </c>
      <c r="F116" s="2" t="n">
        <v>3</v>
      </c>
      <c r="G116" s="2" t="s">
        <v>52</v>
      </c>
      <c r="H116" s="2" t="s">
        <v>105</v>
      </c>
      <c r="I116" s="2" t="n">
        <v>12</v>
      </c>
      <c r="J116" s="2" t="n">
        <v>4</v>
      </c>
      <c r="K116" s="2" t="s">
        <v>85</v>
      </c>
      <c r="L116" s="2" t="s">
        <v>86</v>
      </c>
      <c r="M116" s="2"/>
      <c r="N116" s="2"/>
      <c r="O116" s="3"/>
      <c r="P116" s="2" t="s">
        <v>124</v>
      </c>
      <c r="Q116" s="2" t="s">
        <v>125</v>
      </c>
      <c r="R116" s="2" t="s">
        <v>126</v>
      </c>
      <c r="S116" s="2" t="s">
        <v>847</v>
      </c>
      <c r="T116" s="3" t="s">
        <v>848</v>
      </c>
      <c r="U116" s="3"/>
      <c r="V116" s="3" t="s">
        <v>849</v>
      </c>
      <c r="W116" s="3" t="s">
        <v>850</v>
      </c>
      <c r="X116" s="2" t="n">
        <v>12</v>
      </c>
      <c r="Y116" s="2" t="n">
        <v>4</v>
      </c>
      <c r="Z116" s="2" t="s">
        <v>47</v>
      </c>
      <c r="AA116" s="3"/>
      <c r="AB116" s="5"/>
      <c r="AC116" s="5"/>
      <c r="AD116" s="3"/>
      <c r="AE116" s="3" t="s">
        <v>851</v>
      </c>
    </row>
    <row r="117" customFormat="false" ht="60" hidden="false" customHeight="true" outlineLevel="0" collapsed="false">
      <c r="A117" s="2" t="s">
        <v>852</v>
      </c>
      <c r="B117" s="2" t="n">
        <v>2022</v>
      </c>
      <c r="C117" s="2" t="s">
        <v>160</v>
      </c>
      <c r="D117" s="2" t="s">
        <v>33</v>
      </c>
      <c r="E117" s="2" t="s">
        <v>104</v>
      </c>
      <c r="F117" s="2" t="n">
        <v>4</v>
      </c>
      <c r="G117" s="2" t="s">
        <v>35</v>
      </c>
      <c r="H117" s="2" t="s">
        <v>105</v>
      </c>
      <c r="I117" s="2" t="n">
        <v>8</v>
      </c>
      <c r="J117" s="2" t="n">
        <v>0</v>
      </c>
      <c r="K117" s="2" t="s">
        <v>64</v>
      </c>
      <c r="L117" s="2" t="s">
        <v>86</v>
      </c>
      <c r="M117" s="2"/>
      <c r="N117" s="2"/>
      <c r="O117" s="3"/>
      <c r="P117" s="2" t="s">
        <v>164</v>
      </c>
      <c r="Q117" s="2" t="s">
        <v>165</v>
      </c>
      <c r="R117" s="2" t="s">
        <v>853</v>
      </c>
      <c r="S117" s="2" t="s">
        <v>854</v>
      </c>
      <c r="T117" s="3" t="s">
        <v>855</v>
      </c>
      <c r="U117" s="3"/>
      <c r="V117" s="3" t="s">
        <v>856</v>
      </c>
      <c r="W117" s="3" t="s">
        <v>857</v>
      </c>
      <c r="X117" s="2" t="n">
        <v>13</v>
      </c>
      <c r="Y117" s="2" t="n">
        <v>4</v>
      </c>
      <c r="Z117" s="2" t="s">
        <v>47</v>
      </c>
      <c r="AA117" s="3"/>
      <c r="AB117" s="5"/>
      <c r="AC117" s="5"/>
      <c r="AD117" s="3"/>
      <c r="AE117" s="3" t="s">
        <v>858</v>
      </c>
    </row>
    <row r="118" customFormat="false" ht="60" hidden="false" customHeight="true" outlineLevel="0" collapsed="false">
      <c r="A118" s="2" t="s">
        <v>859</v>
      </c>
      <c r="B118" s="2" t="n">
        <v>2022</v>
      </c>
      <c r="C118" s="2" t="s">
        <v>160</v>
      </c>
      <c r="D118" s="2" t="s">
        <v>33</v>
      </c>
      <c r="E118" s="2" t="s">
        <v>104</v>
      </c>
      <c r="F118" s="2" t="n">
        <v>4</v>
      </c>
      <c r="G118" s="2" t="s">
        <v>52</v>
      </c>
      <c r="H118" s="2" t="s">
        <v>105</v>
      </c>
      <c r="I118" s="2" t="n">
        <v>12</v>
      </c>
      <c r="J118" s="2" t="n">
        <v>4</v>
      </c>
      <c r="K118" s="2" t="s">
        <v>85</v>
      </c>
      <c r="L118" s="2"/>
      <c r="M118" s="2"/>
      <c r="N118" s="2"/>
      <c r="O118" s="3" t="s">
        <v>308</v>
      </c>
      <c r="P118" s="2" t="s">
        <v>466</v>
      </c>
      <c r="Q118" s="2" t="s">
        <v>467</v>
      </c>
      <c r="R118" s="2" t="s">
        <v>468</v>
      </c>
      <c r="S118" s="2" t="s">
        <v>469</v>
      </c>
      <c r="T118" s="3" t="s">
        <v>860</v>
      </c>
      <c r="U118" s="3"/>
      <c r="V118" s="3" t="s">
        <v>861</v>
      </c>
      <c r="W118" s="3" t="s">
        <v>862</v>
      </c>
      <c r="X118" s="2" t="n">
        <v>14</v>
      </c>
      <c r="Y118" s="2" t="n">
        <v>4</v>
      </c>
      <c r="Z118" s="2" t="s">
        <v>47</v>
      </c>
      <c r="AA118" s="3"/>
      <c r="AB118" s="5"/>
      <c r="AC118" s="5"/>
      <c r="AD118" s="3" t="s">
        <v>863</v>
      </c>
      <c r="AE118" s="3" t="s">
        <v>864</v>
      </c>
    </row>
    <row r="119" customFormat="false" ht="60" hidden="false" customHeight="true" outlineLevel="0" collapsed="false">
      <c r="A119" s="2" t="s">
        <v>865</v>
      </c>
      <c r="B119" s="2" t="n">
        <v>2022</v>
      </c>
      <c r="C119" s="2" t="s">
        <v>160</v>
      </c>
      <c r="D119" s="2" t="s">
        <v>316</v>
      </c>
      <c r="E119" s="2" t="s">
        <v>34</v>
      </c>
      <c r="F119" s="2" t="n">
        <v>1</v>
      </c>
      <c r="G119" s="2" t="s">
        <v>35</v>
      </c>
      <c r="H119" s="2"/>
      <c r="I119" s="2" t="n">
        <v>2</v>
      </c>
      <c r="J119" s="2" t="n">
        <v>0</v>
      </c>
      <c r="K119" s="2" t="s">
        <v>163</v>
      </c>
      <c r="L119" s="2"/>
      <c r="M119" s="2"/>
      <c r="N119" s="2"/>
      <c r="O119" s="3"/>
      <c r="P119" s="2" t="s">
        <v>193</v>
      </c>
      <c r="Q119" s="2" t="s">
        <v>194</v>
      </c>
      <c r="R119" s="2" t="s">
        <v>528</v>
      </c>
      <c r="S119" s="2" t="s">
        <v>866</v>
      </c>
      <c r="T119" s="3" t="s">
        <v>867</v>
      </c>
      <c r="U119" s="3" t="s">
        <v>868</v>
      </c>
      <c r="V119" s="3" t="s">
        <v>869</v>
      </c>
      <c r="W119" s="3" t="s">
        <v>870</v>
      </c>
      <c r="X119" s="2" t="n">
        <v>6</v>
      </c>
      <c r="Y119" s="2" t="n">
        <v>3</v>
      </c>
      <c r="Z119" s="2" t="s">
        <v>47</v>
      </c>
      <c r="AA119" s="4" t="s">
        <v>567</v>
      </c>
      <c r="AB119" s="5"/>
      <c r="AC119" s="5"/>
      <c r="AD119" s="3"/>
      <c r="AE119" s="3" t="s">
        <v>871</v>
      </c>
    </row>
    <row r="120" customFormat="false" ht="60" hidden="false" customHeight="true" outlineLevel="0" collapsed="false">
      <c r="A120" s="2" t="s">
        <v>872</v>
      </c>
      <c r="B120" s="2" t="n">
        <v>2022</v>
      </c>
      <c r="C120" s="2" t="s">
        <v>160</v>
      </c>
      <c r="D120" s="2" t="s">
        <v>316</v>
      </c>
      <c r="E120" s="2" t="s">
        <v>34</v>
      </c>
      <c r="F120" s="2" t="n">
        <v>1</v>
      </c>
      <c r="G120" s="2" t="s">
        <v>483</v>
      </c>
      <c r="H120" s="2"/>
      <c r="I120" s="2" t="n">
        <v>1</v>
      </c>
      <c r="J120" s="2" t="n">
        <v>0</v>
      </c>
      <c r="K120" s="2" t="s">
        <v>36</v>
      </c>
      <c r="L120" s="2"/>
      <c r="M120" s="2"/>
      <c r="N120" s="2" t="s">
        <v>37</v>
      </c>
      <c r="O120" s="3" t="s">
        <v>38</v>
      </c>
      <c r="P120" s="2" t="s">
        <v>185</v>
      </c>
      <c r="Q120" s="2" t="s">
        <v>186</v>
      </c>
      <c r="R120" s="2" t="s">
        <v>317</v>
      </c>
      <c r="S120" s="2" t="s">
        <v>318</v>
      </c>
      <c r="T120" s="3" t="s">
        <v>873</v>
      </c>
      <c r="U120" s="3" t="s">
        <v>868</v>
      </c>
      <c r="V120" s="3" t="s">
        <v>874</v>
      </c>
      <c r="W120" s="3" t="s">
        <v>875</v>
      </c>
      <c r="X120" s="2" t="n">
        <v>6</v>
      </c>
      <c r="Y120" s="2" t="n">
        <v>3</v>
      </c>
      <c r="Z120" s="2" t="s">
        <v>47</v>
      </c>
      <c r="AA120" s="4" t="s">
        <v>330</v>
      </c>
      <c r="AB120" s="5"/>
      <c r="AC120" s="5"/>
      <c r="AD120" s="3" t="s">
        <v>876</v>
      </c>
      <c r="AE120" s="3" t="s">
        <v>877</v>
      </c>
    </row>
    <row r="121" customFormat="false" ht="60" hidden="false" customHeight="true" outlineLevel="0" collapsed="false">
      <c r="A121" s="2" t="s">
        <v>878</v>
      </c>
      <c r="B121" s="2" t="n">
        <v>2022</v>
      </c>
      <c r="C121" s="2" t="s">
        <v>160</v>
      </c>
      <c r="D121" s="2" t="s">
        <v>316</v>
      </c>
      <c r="E121" s="2" t="s">
        <v>34</v>
      </c>
      <c r="F121" s="2" t="n">
        <v>1</v>
      </c>
      <c r="G121" s="2" t="s">
        <v>490</v>
      </c>
      <c r="H121" s="2"/>
      <c r="I121" s="2" t="n">
        <v>4</v>
      </c>
      <c r="J121" s="2" t="n">
        <v>0</v>
      </c>
      <c r="K121" s="2" t="s">
        <v>64</v>
      </c>
      <c r="L121" s="2"/>
      <c r="M121" s="2"/>
      <c r="N121" s="2"/>
      <c r="O121" s="3"/>
      <c r="P121" s="2" t="s">
        <v>142</v>
      </c>
      <c r="Q121" s="2" t="s">
        <v>143</v>
      </c>
      <c r="R121" s="2" t="s">
        <v>144</v>
      </c>
      <c r="S121" s="2" t="s">
        <v>879</v>
      </c>
      <c r="T121" s="3" t="s">
        <v>880</v>
      </c>
      <c r="U121" s="3" t="s">
        <v>868</v>
      </c>
      <c r="V121" s="3" t="s">
        <v>881</v>
      </c>
      <c r="W121" s="3" t="s">
        <v>882</v>
      </c>
      <c r="X121" s="2" t="n">
        <v>7</v>
      </c>
      <c r="Y121" s="2" t="n">
        <v>3</v>
      </c>
      <c r="Z121" s="2" t="s">
        <v>47</v>
      </c>
      <c r="AA121" s="3"/>
      <c r="AB121" s="5"/>
      <c r="AC121" s="5"/>
      <c r="AD121" s="3" t="s">
        <v>883</v>
      </c>
      <c r="AE121" s="3" t="s">
        <v>884</v>
      </c>
    </row>
    <row r="122" customFormat="false" ht="60" hidden="false" customHeight="true" outlineLevel="0" collapsed="false">
      <c r="A122" s="2" t="s">
        <v>885</v>
      </c>
      <c r="B122" s="2" t="n">
        <v>2022</v>
      </c>
      <c r="C122" s="2" t="s">
        <v>160</v>
      </c>
      <c r="D122" s="2" t="s">
        <v>316</v>
      </c>
      <c r="E122" s="2" t="s">
        <v>34</v>
      </c>
      <c r="F122" s="2" t="n">
        <v>1</v>
      </c>
      <c r="G122" s="2" t="s">
        <v>63</v>
      </c>
      <c r="H122" s="2"/>
      <c r="I122" s="2" t="n">
        <v>4</v>
      </c>
      <c r="J122" s="2" t="n">
        <v>0</v>
      </c>
      <c r="K122" s="2" t="s">
        <v>86</v>
      </c>
      <c r="L122" s="2"/>
      <c r="M122" s="2"/>
      <c r="N122" s="2"/>
      <c r="O122" s="3" t="s">
        <v>308</v>
      </c>
      <c r="P122" s="2" t="s">
        <v>694</v>
      </c>
      <c r="Q122" s="2" t="s">
        <v>695</v>
      </c>
      <c r="R122" s="2" t="s">
        <v>696</v>
      </c>
      <c r="S122" s="2" t="s">
        <v>886</v>
      </c>
      <c r="T122" s="3" t="s">
        <v>887</v>
      </c>
      <c r="U122" s="3" t="s">
        <v>868</v>
      </c>
      <c r="V122" s="3" t="s">
        <v>888</v>
      </c>
      <c r="W122" s="3" t="s">
        <v>889</v>
      </c>
      <c r="X122" s="2" t="n">
        <v>7</v>
      </c>
      <c r="Y122" s="2" t="n">
        <v>3</v>
      </c>
      <c r="Z122" s="2" t="s">
        <v>47</v>
      </c>
      <c r="AA122" s="3"/>
      <c r="AB122" s="5"/>
      <c r="AC122" s="5"/>
      <c r="AD122" s="3"/>
      <c r="AE122" s="3" t="s">
        <v>890</v>
      </c>
    </row>
    <row r="123" customFormat="false" ht="60" hidden="false" customHeight="true" outlineLevel="0" collapsed="false">
      <c r="A123" s="2" t="s">
        <v>891</v>
      </c>
      <c r="B123" s="2" t="n">
        <v>2022</v>
      </c>
      <c r="C123" s="2" t="s">
        <v>160</v>
      </c>
      <c r="D123" s="2" t="s">
        <v>316</v>
      </c>
      <c r="E123" s="2" t="s">
        <v>34</v>
      </c>
      <c r="F123" s="2" t="n">
        <v>1</v>
      </c>
      <c r="G123" s="2" t="s">
        <v>72</v>
      </c>
      <c r="H123" s="2"/>
      <c r="I123" s="2" t="n">
        <v>3</v>
      </c>
      <c r="J123" s="2" t="n">
        <v>0</v>
      </c>
      <c r="K123" s="2" t="s">
        <v>64</v>
      </c>
      <c r="L123" s="2"/>
      <c r="M123" s="2" t="s">
        <v>37</v>
      </c>
      <c r="N123" s="2"/>
      <c r="O123" s="3" t="s">
        <v>73</v>
      </c>
      <c r="P123" s="2" t="s">
        <v>106</v>
      </c>
      <c r="Q123" s="2" t="s">
        <v>107</v>
      </c>
      <c r="R123" s="2" t="s">
        <v>519</v>
      </c>
      <c r="S123" s="2" t="s">
        <v>892</v>
      </c>
      <c r="T123" s="3" t="s">
        <v>893</v>
      </c>
      <c r="U123" s="3" t="s">
        <v>868</v>
      </c>
      <c r="V123" s="3" t="s">
        <v>894</v>
      </c>
      <c r="W123" s="3" t="s">
        <v>895</v>
      </c>
      <c r="X123" s="2" t="n">
        <v>7</v>
      </c>
      <c r="Y123" s="2" t="n">
        <v>3</v>
      </c>
      <c r="Z123" s="2" t="s">
        <v>47</v>
      </c>
      <c r="AA123" s="3"/>
      <c r="AB123" s="5"/>
      <c r="AC123" s="5"/>
      <c r="AD123" s="3" t="s">
        <v>896</v>
      </c>
      <c r="AE123" s="3" t="s">
        <v>897</v>
      </c>
    </row>
    <row r="124" customFormat="false" ht="60" hidden="false" customHeight="true" outlineLevel="0" collapsed="false">
      <c r="A124" s="2" t="s">
        <v>898</v>
      </c>
      <c r="B124" s="2" t="n">
        <v>2022</v>
      </c>
      <c r="C124" s="2" t="s">
        <v>160</v>
      </c>
      <c r="D124" s="2" t="s">
        <v>316</v>
      </c>
      <c r="E124" s="2" t="s">
        <v>34</v>
      </c>
      <c r="F124" s="2" t="n">
        <v>1</v>
      </c>
      <c r="G124" s="2" t="s">
        <v>84</v>
      </c>
      <c r="H124" s="2"/>
      <c r="I124" s="2" t="n">
        <v>6</v>
      </c>
      <c r="J124" s="2" t="n">
        <v>1</v>
      </c>
      <c r="K124" s="2" t="s">
        <v>85</v>
      </c>
      <c r="L124" s="2"/>
      <c r="M124" s="2"/>
      <c r="N124" s="2"/>
      <c r="O124" s="3"/>
      <c r="P124" s="2" t="s">
        <v>142</v>
      </c>
      <c r="Q124" s="2" t="s">
        <v>143</v>
      </c>
      <c r="R124" s="2" t="s">
        <v>899</v>
      </c>
      <c r="S124" s="2" t="s">
        <v>900</v>
      </c>
      <c r="T124" s="3" t="s">
        <v>901</v>
      </c>
      <c r="U124" s="3" t="s">
        <v>868</v>
      </c>
      <c r="V124" s="3" t="s">
        <v>902</v>
      </c>
      <c r="W124" s="3" t="s">
        <v>903</v>
      </c>
      <c r="X124" s="2" t="n">
        <v>8</v>
      </c>
      <c r="Y124" s="2" t="n">
        <v>3</v>
      </c>
      <c r="Z124" s="2" t="s">
        <v>47</v>
      </c>
      <c r="AA124" s="3"/>
      <c r="AB124" s="5"/>
      <c r="AC124" s="5"/>
      <c r="AD124" s="3"/>
      <c r="AE124" s="3" t="s">
        <v>904</v>
      </c>
    </row>
    <row r="125" customFormat="false" ht="60" hidden="false" customHeight="true" outlineLevel="0" collapsed="false">
      <c r="A125" s="2" t="s">
        <v>905</v>
      </c>
      <c r="B125" s="2" t="n">
        <v>2022</v>
      </c>
      <c r="C125" s="2" t="s">
        <v>160</v>
      </c>
      <c r="D125" s="2" t="s">
        <v>316</v>
      </c>
      <c r="E125" s="2" t="s">
        <v>104</v>
      </c>
      <c r="F125" s="2" t="n">
        <v>2</v>
      </c>
      <c r="G125" s="2" t="s">
        <v>35</v>
      </c>
      <c r="H125" s="2" t="s">
        <v>105</v>
      </c>
      <c r="I125" s="2" t="n">
        <v>8</v>
      </c>
      <c r="J125" s="2" t="n">
        <v>0</v>
      </c>
      <c r="K125" s="2" t="s">
        <v>64</v>
      </c>
      <c r="L125" s="2"/>
      <c r="M125" s="2"/>
      <c r="N125" s="2"/>
      <c r="O125" s="3"/>
      <c r="P125" s="2" t="s">
        <v>209</v>
      </c>
      <c r="Q125" s="2" t="s">
        <v>210</v>
      </c>
      <c r="R125" s="2" t="s">
        <v>340</v>
      </c>
      <c r="S125" s="2" t="s">
        <v>906</v>
      </c>
      <c r="T125" s="3" t="s">
        <v>907</v>
      </c>
      <c r="U125" s="3"/>
      <c r="V125" s="3" t="s">
        <v>908</v>
      </c>
      <c r="W125" s="3" t="s">
        <v>909</v>
      </c>
      <c r="X125" s="2" t="n">
        <v>9</v>
      </c>
      <c r="Y125" s="2" t="n">
        <v>4</v>
      </c>
      <c r="Z125" s="2" t="s">
        <v>47</v>
      </c>
      <c r="AA125" s="3"/>
      <c r="AB125" s="5"/>
      <c r="AC125" s="5"/>
      <c r="AD125" s="3"/>
      <c r="AE125" s="3" t="s">
        <v>910</v>
      </c>
    </row>
    <row r="126" customFormat="false" ht="60" hidden="false" customHeight="true" outlineLevel="0" collapsed="false">
      <c r="A126" s="2" t="s">
        <v>911</v>
      </c>
      <c r="B126" s="2" t="n">
        <v>2022</v>
      </c>
      <c r="C126" s="2" t="s">
        <v>160</v>
      </c>
      <c r="D126" s="2" t="s">
        <v>316</v>
      </c>
      <c r="E126" s="2" t="s">
        <v>104</v>
      </c>
      <c r="F126" s="2" t="n">
        <v>2</v>
      </c>
      <c r="G126" s="2" t="s">
        <v>52</v>
      </c>
      <c r="H126" s="2" t="s">
        <v>105</v>
      </c>
      <c r="I126" s="2" t="n">
        <v>12</v>
      </c>
      <c r="J126" s="2" t="n">
        <v>4</v>
      </c>
      <c r="K126" s="2" t="s">
        <v>85</v>
      </c>
      <c r="L126" s="2"/>
      <c r="M126" s="2"/>
      <c r="N126" s="2"/>
      <c r="O126" s="3"/>
      <c r="P126" s="2" t="s">
        <v>209</v>
      </c>
      <c r="Q126" s="2" t="s">
        <v>210</v>
      </c>
      <c r="R126" s="2" t="s">
        <v>512</v>
      </c>
      <c r="S126" s="2" t="s">
        <v>912</v>
      </c>
      <c r="T126" s="3" t="s">
        <v>913</v>
      </c>
      <c r="U126" s="3"/>
      <c r="V126" s="3" t="s">
        <v>914</v>
      </c>
      <c r="W126" s="3" t="s">
        <v>915</v>
      </c>
      <c r="X126" s="2" t="n">
        <v>9</v>
      </c>
      <c r="Y126" s="2" t="n">
        <v>4</v>
      </c>
      <c r="Z126" s="2" t="s">
        <v>47</v>
      </c>
      <c r="AA126" s="3"/>
      <c r="AB126" s="5"/>
      <c r="AC126" s="5"/>
      <c r="AD126" s="3"/>
      <c r="AE126" s="3" t="s">
        <v>916</v>
      </c>
    </row>
    <row r="127" customFormat="false" ht="60" hidden="false" customHeight="true" outlineLevel="0" collapsed="false">
      <c r="A127" s="2" t="s">
        <v>917</v>
      </c>
      <c r="B127" s="2" t="n">
        <v>2022</v>
      </c>
      <c r="C127" s="2" t="s">
        <v>160</v>
      </c>
      <c r="D127" s="2" t="s">
        <v>316</v>
      </c>
      <c r="E127" s="2" t="s">
        <v>104</v>
      </c>
      <c r="F127" s="2" t="n">
        <v>3</v>
      </c>
      <c r="G127" s="2" t="s">
        <v>35</v>
      </c>
      <c r="H127" s="2" t="s">
        <v>105</v>
      </c>
      <c r="I127" s="2" t="n">
        <v>8</v>
      </c>
      <c r="J127" s="2" t="n">
        <v>0</v>
      </c>
      <c r="K127" s="2" t="s">
        <v>64</v>
      </c>
      <c r="L127" s="2"/>
      <c r="M127" s="2"/>
      <c r="N127" s="2"/>
      <c r="O127" s="3"/>
      <c r="P127" s="2" t="s">
        <v>39</v>
      </c>
      <c r="Q127" s="2" t="s">
        <v>40</v>
      </c>
      <c r="R127" s="2" t="s">
        <v>301</v>
      </c>
      <c r="S127" s="2" t="s">
        <v>741</v>
      </c>
      <c r="T127" s="3" t="s">
        <v>918</v>
      </c>
      <c r="U127" s="3"/>
      <c r="V127" s="3" t="s">
        <v>919</v>
      </c>
      <c r="W127" s="3" t="s">
        <v>920</v>
      </c>
      <c r="X127" s="2" t="n">
        <v>10</v>
      </c>
      <c r="Y127" s="2" t="n">
        <v>4</v>
      </c>
      <c r="Z127" s="2" t="s">
        <v>47</v>
      </c>
      <c r="AA127" s="3"/>
      <c r="AB127" s="5"/>
      <c r="AC127" s="5"/>
      <c r="AD127" s="3"/>
      <c r="AE127" s="3" t="s">
        <v>921</v>
      </c>
    </row>
    <row r="128" customFormat="false" ht="60" hidden="false" customHeight="true" outlineLevel="0" collapsed="false">
      <c r="A128" s="2" t="s">
        <v>922</v>
      </c>
      <c r="B128" s="2" t="n">
        <v>2022</v>
      </c>
      <c r="C128" s="2" t="s">
        <v>160</v>
      </c>
      <c r="D128" s="2" t="s">
        <v>316</v>
      </c>
      <c r="E128" s="2" t="s">
        <v>104</v>
      </c>
      <c r="F128" s="2" t="n">
        <v>3</v>
      </c>
      <c r="G128" s="2" t="s">
        <v>52</v>
      </c>
      <c r="H128" s="2" t="s">
        <v>105</v>
      </c>
      <c r="I128" s="2" t="n">
        <v>12</v>
      </c>
      <c r="J128" s="2" t="n">
        <v>4</v>
      </c>
      <c r="K128" s="2" t="s">
        <v>85</v>
      </c>
      <c r="L128" s="2"/>
      <c r="M128" s="2"/>
      <c r="N128" s="2"/>
      <c r="O128" s="3" t="s">
        <v>308</v>
      </c>
      <c r="P128" s="2" t="s">
        <v>87</v>
      </c>
      <c r="Q128" s="2" t="s">
        <v>88</v>
      </c>
      <c r="R128" s="2" t="s">
        <v>923</v>
      </c>
      <c r="S128" s="2" t="s">
        <v>90</v>
      </c>
      <c r="T128" s="3" t="s">
        <v>924</v>
      </c>
      <c r="U128" s="3"/>
      <c r="V128" s="3" t="s">
        <v>925</v>
      </c>
      <c r="W128" s="3" t="s">
        <v>926</v>
      </c>
      <c r="X128" s="2" t="n">
        <v>11</v>
      </c>
      <c r="Y128" s="2" t="n">
        <v>4</v>
      </c>
      <c r="Z128" s="2" t="s">
        <v>47</v>
      </c>
      <c r="AA128" s="3"/>
      <c r="AB128" s="5"/>
      <c r="AC128" s="5"/>
      <c r="AD128" s="3" t="s">
        <v>927</v>
      </c>
      <c r="AE128" s="3" t="s">
        <v>928</v>
      </c>
    </row>
    <row r="129" customFormat="false" ht="60" hidden="false" customHeight="true" outlineLevel="0" collapsed="false">
      <c r="A129" s="2" t="s">
        <v>929</v>
      </c>
      <c r="B129" s="2" t="n">
        <v>2022</v>
      </c>
      <c r="C129" s="2" t="s">
        <v>160</v>
      </c>
      <c r="D129" s="2" t="s">
        <v>316</v>
      </c>
      <c r="E129" s="2" t="s">
        <v>104</v>
      </c>
      <c r="F129" s="2" t="n">
        <v>4</v>
      </c>
      <c r="G129" s="2" t="s">
        <v>35</v>
      </c>
      <c r="H129" s="2" t="s">
        <v>105</v>
      </c>
      <c r="I129" s="2" t="n">
        <v>8</v>
      </c>
      <c r="J129" s="2" t="n">
        <v>0</v>
      </c>
      <c r="K129" s="2" t="s">
        <v>64</v>
      </c>
      <c r="L129" s="2"/>
      <c r="M129" s="2"/>
      <c r="N129" s="2"/>
      <c r="O129" s="3"/>
      <c r="P129" s="2" t="s">
        <v>164</v>
      </c>
      <c r="Q129" s="2" t="s">
        <v>165</v>
      </c>
      <c r="R129" s="2" t="s">
        <v>166</v>
      </c>
      <c r="S129" s="2" t="s">
        <v>930</v>
      </c>
      <c r="T129" s="3" t="s">
        <v>931</v>
      </c>
      <c r="U129" s="3"/>
      <c r="V129" s="3" t="s">
        <v>932</v>
      </c>
      <c r="W129" s="3" t="s">
        <v>933</v>
      </c>
      <c r="X129" s="2" t="n">
        <v>12</v>
      </c>
      <c r="Y129" s="2" t="n">
        <v>4</v>
      </c>
      <c r="Z129" s="2" t="s">
        <v>47</v>
      </c>
      <c r="AA129" s="3"/>
      <c r="AB129" s="5"/>
      <c r="AC129" s="5"/>
      <c r="AD129" s="3" t="s">
        <v>934</v>
      </c>
      <c r="AE129" s="3" t="s">
        <v>935</v>
      </c>
    </row>
    <row r="130" customFormat="false" ht="60" hidden="false" customHeight="true" outlineLevel="0" collapsed="false">
      <c r="A130" s="2" t="s">
        <v>936</v>
      </c>
      <c r="B130" s="2" t="n">
        <v>2022</v>
      </c>
      <c r="C130" s="2" t="s">
        <v>160</v>
      </c>
      <c r="D130" s="2" t="s">
        <v>316</v>
      </c>
      <c r="E130" s="2" t="s">
        <v>104</v>
      </c>
      <c r="F130" s="2" t="n">
        <v>4</v>
      </c>
      <c r="G130" s="2" t="s">
        <v>52</v>
      </c>
      <c r="H130" s="2" t="s">
        <v>105</v>
      </c>
      <c r="I130" s="2" t="n">
        <v>12</v>
      </c>
      <c r="J130" s="2" t="n">
        <v>4</v>
      </c>
      <c r="K130" s="2" t="s">
        <v>85</v>
      </c>
      <c r="L130" s="2"/>
      <c r="M130" s="2"/>
      <c r="N130" s="2"/>
      <c r="O130" s="3" t="s">
        <v>232</v>
      </c>
      <c r="P130" s="2" t="s">
        <v>466</v>
      </c>
      <c r="Q130" s="2" t="s">
        <v>467</v>
      </c>
      <c r="R130" s="2" t="s">
        <v>468</v>
      </c>
      <c r="S130" s="2" t="s">
        <v>469</v>
      </c>
      <c r="T130" s="3" t="s">
        <v>937</v>
      </c>
      <c r="U130" s="3"/>
      <c r="V130" s="3" t="s">
        <v>938</v>
      </c>
      <c r="W130" s="3" t="s">
        <v>939</v>
      </c>
      <c r="X130" s="2" t="n">
        <v>13</v>
      </c>
      <c r="Y130" s="2" t="n">
        <v>4</v>
      </c>
      <c r="Z130" s="2" t="s">
        <v>47</v>
      </c>
      <c r="AA130" s="3"/>
      <c r="AB130" s="5"/>
      <c r="AC130" s="5"/>
      <c r="AD130" s="3"/>
      <c r="AE130" s="3" t="s">
        <v>940</v>
      </c>
    </row>
    <row r="131" customFormat="false" ht="60" hidden="false" customHeight="true" outlineLevel="0" collapsed="false">
      <c r="A131" s="2" t="s">
        <v>941</v>
      </c>
      <c r="B131" s="2" t="n">
        <v>2022</v>
      </c>
      <c r="C131" s="2" t="s">
        <v>389</v>
      </c>
      <c r="D131" s="2" t="s">
        <v>161</v>
      </c>
      <c r="E131" s="2" t="s">
        <v>34</v>
      </c>
      <c r="F131" s="2" t="n">
        <v>1</v>
      </c>
      <c r="G131" s="2" t="s">
        <v>35</v>
      </c>
      <c r="H131" s="2"/>
      <c r="I131" s="2" t="n">
        <v>2</v>
      </c>
      <c r="J131" s="2" t="n">
        <v>0</v>
      </c>
      <c r="K131" s="2" t="s">
        <v>64</v>
      </c>
      <c r="L131" s="2"/>
      <c r="M131" s="2"/>
      <c r="N131" s="2"/>
      <c r="O131" s="3"/>
      <c r="P131" s="2" t="s">
        <v>142</v>
      </c>
      <c r="Q131" s="2" t="s">
        <v>143</v>
      </c>
      <c r="R131" s="2" t="s">
        <v>942</v>
      </c>
      <c r="S131" s="2" t="s">
        <v>943</v>
      </c>
      <c r="T131" s="3" t="s">
        <v>944</v>
      </c>
      <c r="U131" s="3" t="s">
        <v>945</v>
      </c>
      <c r="V131" s="3" t="s">
        <v>946</v>
      </c>
      <c r="W131" s="3" t="s">
        <v>947</v>
      </c>
      <c r="X131" s="2" t="n">
        <v>6</v>
      </c>
      <c r="Y131" s="2" t="n">
        <v>3</v>
      </c>
      <c r="Z131" s="2" t="s">
        <v>47</v>
      </c>
      <c r="AA131" s="3"/>
      <c r="AB131" s="5"/>
      <c r="AC131" s="5"/>
      <c r="AD131" s="3"/>
      <c r="AE131" s="3" t="s">
        <v>948</v>
      </c>
    </row>
    <row r="132" customFormat="false" ht="60" hidden="false" customHeight="true" outlineLevel="0" collapsed="false">
      <c r="A132" s="2" t="s">
        <v>949</v>
      </c>
      <c r="B132" s="2" t="n">
        <v>2022</v>
      </c>
      <c r="C132" s="2" t="s">
        <v>389</v>
      </c>
      <c r="D132" s="2" t="s">
        <v>161</v>
      </c>
      <c r="E132" s="2" t="s">
        <v>34</v>
      </c>
      <c r="F132" s="2" t="n">
        <v>1</v>
      </c>
      <c r="G132" s="2" t="s">
        <v>52</v>
      </c>
      <c r="H132" s="2"/>
      <c r="I132" s="2" t="n">
        <v>2</v>
      </c>
      <c r="J132" s="2" t="n">
        <v>0</v>
      </c>
      <c r="K132" s="2" t="s">
        <v>64</v>
      </c>
      <c r="L132" s="2"/>
      <c r="M132" s="2"/>
      <c r="N132" s="2"/>
      <c r="O132" s="3"/>
      <c r="P132" s="2" t="s">
        <v>151</v>
      </c>
      <c r="Q132" s="2" t="s">
        <v>152</v>
      </c>
      <c r="R132" s="2" t="s">
        <v>950</v>
      </c>
      <c r="S132" s="2" t="s">
        <v>951</v>
      </c>
      <c r="T132" s="3" t="s">
        <v>952</v>
      </c>
      <c r="U132" s="3" t="s">
        <v>945</v>
      </c>
      <c r="V132" s="3" t="s">
        <v>953</v>
      </c>
      <c r="W132" s="3" t="s">
        <v>954</v>
      </c>
      <c r="X132" s="2" t="n">
        <v>6</v>
      </c>
      <c r="Y132" s="2" t="n">
        <v>3</v>
      </c>
      <c r="Z132" s="2" t="s">
        <v>47</v>
      </c>
      <c r="AA132" s="3"/>
      <c r="AB132" s="5"/>
      <c r="AC132" s="5"/>
      <c r="AD132" s="3"/>
      <c r="AE132" s="3" t="s">
        <v>955</v>
      </c>
    </row>
    <row r="133" customFormat="false" ht="60" hidden="false" customHeight="true" outlineLevel="0" collapsed="false">
      <c r="A133" s="2" t="s">
        <v>956</v>
      </c>
      <c r="B133" s="2" t="n">
        <v>2022</v>
      </c>
      <c r="C133" s="2" t="s">
        <v>389</v>
      </c>
      <c r="D133" s="2" t="s">
        <v>161</v>
      </c>
      <c r="E133" s="2" t="s">
        <v>34</v>
      </c>
      <c r="F133" s="2" t="n">
        <v>1</v>
      </c>
      <c r="G133" s="2" t="s">
        <v>63</v>
      </c>
      <c r="H133" s="2"/>
      <c r="I133" s="2" t="n">
        <v>4</v>
      </c>
      <c r="J133" s="2" t="n">
        <v>0</v>
      </c>
      <c r="K133" s="2" t="s">
        <v>64</v>
      </c>
      <c r="L133" s="2"/>
      <c r="M133" s="2" t="s">
        <v>37</v>
      </c>
      <c r="N133" s="2"/>
      <c r="O133" s="3" t="s">
        <v>73</v>
      </c>
      <c r="P133" s="2" t="s">
        <v>151</v>
      </c>
      <c r="Q133" s="2" t="s">
        <v>152</v>
      </c>
      <c r="R133" s="2" t="s">
        <v>950</v>
      </c>
      <c r="S133" s="2" t="s">
        <v>951</v>
      </c>
      <c r="T133" s="3" t="s">
        <v>957</v>
      </c>
      <c r="U133" s="3" t="s">
        <v>945</v>
      </c>
      <c r="V133" s="3" t="s">
        <v>958</v>
      </c>
      <c r="W133" s="3" t="s">
        <v>959</v>
      </c>
      <c r="X133" s="2" t="n">
        <v>7</v>
      </c>
      <c r="Y133" s="2" t="n">
        <v>3</v>
      </c>
      <c r="Z133" s="2" t="s">
        <v>47</v>
      </c>
      <c r="AA133" s="3"/>
      <c r="AB133" s="5"/>
      <c r="AC133" s="5"/>
      <c r="AD133" s="3" t="s">
        <v>960</v>
      </c>
      <c r="AE133" s="3" t="s">
        <v>961</v>
      </c>
    </row>
    <row r="134" customFormat="false" ht="60" hidden="false" customHeight="true" outlineLevel="0" collapsed="false">
      <c r="A134" s="2" t="s">
        <v>962</v>
      </c>
      <c r="B134" s="2" t="n">
        <v>2022</v>
      </c>
      <c r="C134" s="2" t="s">
        <v>389</v>
      </c>
      <c r="D134" s="2" t="s">
        <v>161</v>
      </c>
      <c r="E134" s="2" t="s">
        <v>34</v>
      </c>
      <c r="F134" s="2" t="n">
        <v>1</v>
      </c>
      <c r="G134" s="2" t="s">
        <v>72</v>
      </c>
      <c r="H134" s="2"/>
      <c r="I134" s="2" t="n">
        <v>6</v>
      </c>
      <c r="J134" s="2" t="n">
        <v>1</v>
      </c>
      <c r="K134" s="2" t="s">
        <v>86</v>
      </c>
      <c r="L134" s="2"/>
      <c r="M134" s="2"/>
      <c r="N134" s="2"/>
      <c r="O134" s="3"/>
      <c r="P134" s="2" t="s">
        <v>151</v>
      </c>
      <c r="Q134" s="2" t="s">
        <v>152</v>
      </c>
      <c r="R134" s="2" t="s">
        <v>963</v>
      </c>
      <c r="S134" s="2" t="s">
        <v>964</v>
      </c>
      <c r="T134" s="3" t="s">
        <v>965</v>
      </c>
      <c r="U134" s="3" t="s">
        <v>945</v>
      </c>
      <c r="V134" s="3" t="s">
        <v>966</v>
      </c>
      <c r="W134" s="3" t="s">
        <v>967</v>
      </c>
      <c r="X134" s="2" t="n">
        <v>8</v>
      </c>
      <c r="Y134" s="2" t="n">
        <v>3</v>
      </c>
      <c r="Z134" s="2" t="s">
        <v>47</v>
      </c>
      <c r="AA134" s="3"/>
      <c r="AB134" s="5"/>
      <c r="AC134" s="5"/>
      <c r="AD134" s="3"/>
      <c r="AE134" s="3" t="s">
        <v>968</v>
      </c>
    </row>
    <row r="135" customFormat="false" ht="60" hidden="false" customHeight="true" outlineLevel="0" collapsed="false">
      <c r="A135" s="2" t="s">
        <v>969</v>
      </c>
      <c r="B135" s="2" t="n">
        <v>2022</v>
      </c>
      <c r="C135" s="2" t="s">
        <v>389</v>
      </c>
      <c r="D135" s="2" t="s">
        <v>161</v>
      </c>
      <c r="E135" s="2" t="s">
        <v>34</v>
      </c>
      <c r="F135" s="2" t="n">
        <v>1</v>
      </c>
      <c r="G135" s="2" t="s">
        <v>84</v>
      </c>
      <c r="H135" s="2"/>
      <c r="I135" s="2" t="n">
        <v>6</v>
      </c>
      <c r="J135" s="2" t="n">
        <v>1</v>
      </c>
      <c r="K135" s="2" t="s">
        <v>85</v>
      </c>
      <c r="L135" s="2"/>
      <c r="M135" s="2"/>
      <c r="N135" s="2"/>
      <c r="O135" s="3" t="s">
        <v>527</v>
      </c>
      <c r="P135" s="2" t="s">
        <v>151</v>
      </c>
      <c r="Q135" s="2" t="s">
        <v>152</v>
      </c>
      <c r="R135" s="2" t="s">
        <v>970</v>
      </c>
      <c r="S135" s="2" t="s">
        <v>971</v>
      </c>
      <c r="T135" s="3" t="s">
        <v>972</v>
      </c>
      <c r="U135" s="3" t="s">
        <v>945</v>
      </c>
      <c r="V135" s="3" t="s">
        <v>973</v>
      </c>
      <c r="W135" s="3" t="s">
        <v>974</v>
      </c>
      <c r="X135" s="2" t="n">
        <v>9</v>
      </c>
      <c r="Y135" s="2" t="n">
        <v>3</v>
      </c>
      <c r="Z135" s="2" t="s">
        <v>47</v>
      </c>
      <c r="AA135" s="3"/>
      <c r="AB135" s="5"/>
      <c r="AC135" s="5"/>
      <c r="AD135" s="3" t="s">
        <v>975</v>
      </c>
      <c r="AE135" s="3" t="s">
        <v>976</v>
      </c>
    </row>
    <row r="136" customFormat="false" ht="60" hidden="false" customHeight="true" outlineLevel="0" collapsed="false">
      <c r="A136" s="2" t="s">
        <v>977</v>
      </c>
      <c r="B136" s="2" t="n">
        <v>2022</v>
      </c>
      <c r="C136" s="2" t="s">
        <v>389</v>
      </c>
      <c r="D136" s="2" t="s">
        <v>161</v>
      </c>
      <c r="E136" s="2" t="s">
        <v>104</v>
      </c>
      <c r="F136" s="2" t="n">
        <v>2</v>
      </c>
      <c r="G136" s="2" t="s">
        <v>35</v>
      </c>
      <c r="H136" s="2" t="s">
        <v>105</v>
      </c>
      <c r="I136" s="2" t="n">
        <v>8</v>
      </c>
      <c r="J136" s="2" t="n">
        <v>0</v>
      </c>
      <c r="K136" s="2" t="s">
        <v>64</v>
      </c>
      <c r="L136" s="2"/>
      <c r="M136" s="2"/>
      <c r="N136" s="2"/>
      <c r="O136" s="3"/>
      <c r="P136" s="2" t="s">
        <v>124</v>
      </c>
      <c r="Q136" s="2" t="s">
        <v>125</v>
      </c>
      <c r="R136" s="2" t="s">
        <v>126</v>
      </c>
      <c r="S136" s="2" t="s">
        <v>978</v>
      </c>
      <c r="T136" s="3" t="s">
        <v>979</v>
      </c>
      <c r="U136" s="3"/>
      <c r="V136" s="3" t="s">
        <v>980</v>
      </c>
      <c r="W136" s="3" t="s">
        <v>981</v>
      </c>
      <c r="X136" s="2" t="n">
        <v>10</v>
      </c>
      <c r="Y136" s="2" t="n">
        <v>3</v>
      </c>
      <c r="Z136" s="2" t="s">
        <v>47</v>
      </c>
      <c r="AA136" s="3"/>
      <c r="AB136" s="5"/>
      <c r="AC136" s="5"/>
      <c r="AD136" s="3"/>
      <c r="AE136" s="3" t="s">
        <v>982</v>
      </c>
    </row>
    <row r="137" customFormat="false" ht="60" hidden="false" customHeight="true" outlineLevel="0" collapsed="false">
      <c r="A137" s="2" t="s">
        <v>983</v>
      </c>
      <c r="B137" s="2" t="n">
        <v>2022</v>
      </c>
      <c r="C137" s="2" t="s">
        <v>389</v>
      </c>
      <c r="D137" s="2" t="s">
        <v>161</v>
      </c>
      <c r="E137" s="2" t="s">
        <v>104</v>
      </c>
      <c r="F137" s="2" t="n">
        <v>2</v>
      </c>
      <c r="G137" s="2" t="s">
        <v>52</v>
      </c>
      <c r="H137" s="2" t="s">
        <v>105</v>
      </c>
      <c r="I137" s="2" t="n">
        <v>12</v>
      </c>
      <c r="J137" s="2" t="n">
        <v>4</v>
      </c>
      <c r="K137" s="2" t="s">
        <v>85</v>
      </c>
      <c r="L137" s="2"/>
      <c r="M137" s="2"/>
      <c r="N137" s="2"/>
      <c r="O137" s="3" t="s">
        <v>308</v>
      </c>
      <c r="P137" s="2" t="s">
        <v>124</v>
      </c>
      <c r="Q137" s="2" t="s">
        <v>125</v>
      </c>
      <c r="R137" s="2" t="s">
        <v>126</v>
      </c>
      <c r="S137" s="2" t="s">
        <v>233</v>
      </c>
      <c r="T137" s="3" t="s">
        <v>984</v>
      </c>
      <c r="U137" s="3"/>
      <c r="V137" s="3" t="s">
        <v>985</v>
      </c>
      <c r="W137" s="3" t="s">
        <v>986</v>
      </c>
      <c r="X137" s="2" t="n">
        <v>11</v>
      </c>
      <c r="Y137" s="2" t="n">
        <v>3</v>
      </c>
      <c r="Z137" s="2" t="s">
        <v>47</v>
      </c>
      <c r="AA137" s="3"/>
      <c r="AB137" s="5"/>
      <c r="AC137" s="5"/>
      <c r="AD137" s="3" t="s">
        <v>987</v>
      </c>
      <c r="AE137" s="3" t="s">
        <v>988</v>
      </c>
    </row>
    <row r="138" customFormat="false" ht="60" hidden="false" customHeight="true" outlineLevel="0" collapsed="false">
      <c r="A138" s="2" t="s">
        <v>989</v>
      </c>
      <c r="B138" s="2" t="n">
        <v>2022</v>
      </c>
      <c r="C138" s="2" t="s">
        <v>389</v>
      </c>
      <c r="D138" s="2" t="s">
        <v>161</v>
      </c>
      <c r="E138" s="2" t="s">
        <v>104</v>
      </c>
      <c r="F138" s="2" t="n">
        <v>3</v>
      </c>
      <c r="G138" s="2" t="s">
        <v>35</v>
      </c>
      <c r="H138" s="2" t="s">
        <v>105</v>
      </c>
      <c r="I138" s="2" t="n">
        <v>8</v>
      </c>
      <c r="J138" s="2" t="n">
        <v>0</v>
      </c>
      <c r="K138" s="2" t="s">
        <v>64</v>
      </c>
      <c r="L138" s="2"/>
      <c r="M138" s="2" t="s">
        <v>37</v>
      </c>
      <c r="N138" s="2"/>
      <c r="O138" s="3" t="s">
        <v>73</v>
      </c>
      <c r="P138" s="2" t="s">
        <v>106</v>
      </c>
      <c r="Q138" s="2" t="s">
        <v>107</v>
      </c>
      <c r="R138" s="2" t="s">
        <v>108</v>
      </c>
      <c r="S138" s="2" t="s">
        <v>990</v>
      </c>
      <c r="T138" s="3" t="s">
        <v>991</v>
      </c>
      <c r="U138" s="3"/>
      <c r="V138" s="3" t="s">
        <v>992</v>
      </c>
      <c r="W138" s="3" t="s">
        <v>993</v>
      </c>
      <c r="X138" s="2" t="n">
        <v>12</v>
      </c>
      <c r="Y138" s="2" t="n">
        <v>3</v>
      </c>
      <c r="Z138" s="2" t="s">
        <v>47</v>
      </c>
      <c r="AA138" s="3"/>
      <c r="AB138" s="5"/>
      <c r="AC138" s="5"/>
      <c r="AD138" s="3"/>
      <c r="AE138" s="3" t="s">
        <v>994</v>
      </c>
    </row>
    <row r="139" customFormat="false" ht="60" hidden="false" customHeight="true" outlineLevel="0" collapsed="false">
      <c r="A139" s="2" t="s">
        <v>995</v>
      </c>
      <c r="B139" s="2" t="n">
        <v>2022</v>
      </c>
      <c r="C139" s="2" t="s">
        <v>389</v>
      </c>
      <c r="D139" s="2" t="s">
        <v>161</v>
      </c>
      <c r="E139" s="2" t="s">
        <v>104</v>
      </c>
      <c r="F139" s="2" t="n">
        <v>3</v>
      </c>
      <c r="G139" s="2" t="s">
        <v>52</v>
      </c>
      <c r="H139" s="2" t="s">
        <v>105</v>
      </c>
      <c r="I139" s="2" t="n">
        <v>12</v>
      </c>
      <c r="J139" s="2" t="n">
        <v>4</v>
      </c>
      <c r="K139" s="2" t="s">
        <v>85</v>
      </c>
      <c r="L139" s="2"/>
      <c r="M139" s="2"/>
      <c r="N139" s="2"/>
      <c r="O139" s="3"/>
      <c r="P139" s="2" t="s">
        <v>115</v>
      </c>
      <c r="Q139" s="2" t="s">
        <v>116</v>
      </c>
      <c r="R139" s="2" t="s">
        <v>117</v>
      </c>
      <c r="S139" s="2" t="s">
        <v>118</v>
      </c>
      <c r="T139" s="3" t="s">
        <v>996</v>
      </c>
      <c r="U139" s="3"/>
      <c r="V139" s="3" t="s">
        <v>997</v>
      </c>
      <c r="W139" s="3" t="s">
        <v>998</v>
      </c>
      <c r="X139" s="2" t="n">
        <v>13</v>
      </c>
      <c r="Y139" s="2" t="n">
        <v>3</v>
      </c>
      <c r="Z139" s="2" t="s">
        <v>47</v>
      </c>
      <c r="AA139" s="3"/>
      <c r="AB139" s="5"/>
      <c r="AC139" s="5"/>
      <c r="AD139" s="3"/>
      <c r="AE139" s="3" t="s">
        <v>999</v>
      </c>
    </row>
    <row r="140" customFormat="false" ht="60" hidden="false" customHeight="true" outlineLevel="0" collapsed="false">
      <c r="A140" s="2" t="s">
        <v>1000</v>
      </c>
      <c r="B140" s="2" t="n">
        <v>2022</v>
      </c>
      <c r="C140" s="2" t="s">
        <v>389</v>
      </c>
      <c r="D140" s="2" t="s">
        <v>161</v>
      </c>
      <c r="E140" s="2" t="s">
        <v>104</v>
      </c>
      <c r="F140" s="2" t="n">
        <v>4</v>
      </c>
      <c r="G140" s="2" t="s">
        <v>35</v>
      </c>
      <c r="H140" s="2" t="s">
        <v>105</v>
      </c>
      <c r="I140" s="2" t="n">
        <v>8</v>
      </c>
      <c r="J140" s="2" t="n">
        <v>0</v>
      </c>
      <c r="K140" s="2" t="s">
        <v>64</v>
      </c>
      <c r="L140" s="2"/>
      <c r="M140" s="2" t="s">
        <v>37</v>
      </c>
      <c r="N140" s="2"/>
      <c r="O140" s="3" t="s">
        <v>73</v>
      </c>
      <c r="P140" s="2" t="s">
        <v>74</v>
      </c>
      <c r="Q140" s="2" t="s">
        <v>75</v>
      </c>
      <c r="R140" s="2" t="s">
        <v>239</v>
      </c>
      <c r="S140" s="2" t="s">
        <v>77</v>
      </c>
      <c r="T140" s="3" t="s">
        <v>240</v>
      </c>
      <c r="U140" s="3"/>
      <c r="V140" s="3" t="s">
        <v>1001</v>
      </c>
      <c r="W140" s="3" t="s">
        <v>1002</v>
      </c>
      <c r="X140" s="2" t="n">
        <v>14</v>
      </c>
      <c r="Y140" s="2" t="n">
        <v>3</v>
      </c>
      <c r="Z140" s="2" t="s">
        <v>47</v>
      </c>
      <c r="AA140" s="3"/>
      <c r="AB140" s="5"/>
      <c r="AC140" s="5"/>
      <c r="AD140" s="3" t="s">
        <v>1003</v>
      </c>
      <c r="AE140" s="3" t="s">
        <v>1004</v>
      </c>
    </row>
    <row r="141" customFormat="false" ht="60" hidden="false" customHeight="true" outlineLevel="0" collapsed="false">
      <c r="A141" s="2" t="s">
        <v>1005</v>
      </c>
      <c r="B141" s="2" t="n">
        <v>2022</v>
      </c>
      <c r="C141" s="2" t="s">
        <v>389</v>
      </c>
      <c r="D141" s="2" t="s">
        <v>161</v>
      </c>
      <c r="E141" s="2" t="s">
        <v>104</v>
      </c>
      <c r="F141" s="2" t="n">
        <v>4</v>
      </c>
      <c r="G141" s="2" t="s">
        <v>52</v>
      </c>
      <c r="H141" s="2" t="s">
        <v>105</v>
      </c>
      <c r="I141" s="2" t="n">
        <v>12</v>
      </c>
      <c r="J141" s="2" t="n">
        <v>4</v>
      </c>
      <c r="K141" s="2" t="s">
        <v>85</v>
      </c>
      <c r="L141" s="2"/>
      <c r="M141" s="2"/>
      <c r="N141" s="2"/>
      <c r="O141" s="3"/>
      <c r="P141" s="2" t="s">
        <v>466</v>
      </c>
      <c r="Q141" s="2" t="s">
        <v>467</v>
      </c>
      <c r="R141" s="2" t="s">
        <v>1006</v>
      </c>
      <c r="S141" s="2" t="s">
        <v>1007</v>
      </c>
      <c r="T141" s="3" t="s">
        <v>1008</v>
      </c>
      <c r="U141" s="3"/>
      <c r="V141" s="3" t="s">
        <v>1009</v>
      </c>
      <c r="W141" s="3" t="s">
        <v>1010</v>
      </c>
      <c r="X141" s="2" t="n">
        <v>15</v>
      </c>
      <c r="Y141" s="2" t="n">
        <v>3</v>
      </c>
      <c r="Z141" s="2" t="s">
        <v>47</v>
      </c>
      <c r="AA141" s="3"/>
      <c r="AB141" s="5"/>
      <c r="AC141" s="5"/>
      <c r="AD141" s="3" t="s">
        <v>1011</v>
      </c>
      <c r="AE141" s="3" t="s">
        <v>1012</v>
      </c>
    </row>
    <row r="142" customFormat="false" ht="60" hidden="false" customHeight="true" outlineLevel="0" collapsed="false">
      <c r="A142" s="2" t="s">
        <v>1013</v>
      </c>
      <c r="B142" s="2" t="n">
        <v>2022</v>
      </c>
      <c r="C142" s="2" t="s">
        <v>389</v>
      </c>
      <c r="D142" s="2" t="s">
        <v>33</v>
      </c>
      <c r="E142" s="2" t="s">
        <v>34</v>
      </c>
      <c r="F142" s="2" t="n">
        <v>1</v>
      </c>
      <c r="G142" s="2" t="s">
        <v>35</v>
      </c>
      <c r="H142" s="2"/>
      <c r="I142" s="2" t="n">
        <v>1</v>
      </c>
      <c r="J142" s="2" t="n">
        <v>0</v>
      </c>
      <c r="K142" s="2" t="s">
        <v>53</v>
      </c>
      <c r="L142" s="2"/>
      <c r="M142" s="2"/>
      <c r="N142" s="2"/>
      <c r="O142" s="3"/>
      <c r="P142" s="2" t="s">
        <v>142</v>
      </c>
      <c r="Q142" s="2" t="s">
        <v>143</v>
      </c>
      <c r="R142" s="2" t="s">
        <v>144</v>
      </c>
      <c r="S142" s="2" t="s">
        <v>1014</v>
      </c>
      <c r="T142" s="3" t="s">
        <v>1015</v>
      </c>
      <c r="U142" s="3" t="s">
        <v>1016</v>
      </c>
      <c r="V142" s="3" t="s">
        <v>1017</v>
      </c>
      <c r="W142" s="3" t="s">
        <v>1018</v>
      </c>
      <c r="X142" s="2" t="n">
        <v>8</v>
      </c>
      <c r="Y142" s="2" t="n">
        <v>3</v>
      </c>
      <c r="Z142" s="2" t="s">
        <v>47</v>
      </c>
      <c r="AA142" s="3"/>
      <c r="AB142" s="5"/>
      <c r="AC142" s="5"/>
      <c r="AD142" s="3"/>
      <c r="AE142" s="3" t="s">
        <v>1019</v>
      </c>
    </row>
    <row r="143" customFormat="false" ht="60" hidden="false" customHeight="true" outlineLevel="0" collapsed="false">
      <c r="A143" s="2" t="s">
        <v>1020</v>
      </c>
      <c r="B143" s="2" t="n">
        <v>2022</v>
      </c>
      <c r="C143" s="2" t="s">
        <v>389</v>
      </c>
      <c r="D143" s="2" t="s">
        <v>33</v>
      </c>
      <c r="E143" s="2" t="s">
        <v>34</v>
      </c>
      <c r="F143" s="2" t="n">
        <v>1</v>
      </c>
      <c r="G143" s="2" t="s">
        <v>52</v>
      </c>
      <c r="H143" s="2"/>
      <c r="I143" s="2" t="n">
        <v>2</v>
      </c>
      <c r="J143" s="2" t="n">
        <v>0</v>
      </c>
      <c r="K143" s="2" t="s">
        <v>64</v>
      </c>
      <c r="L143" s="2"/>
      <c r="M143" s="2"/>
      <c r="N143" s="2"/>
      <c r="O143" s="3"/>
      <c r="P143" s="2" t="s">
        <v>185</v>
      </c>
      <c r="Q143" s="2" t="s">
        <v>186</v>
      </c>
      <c r="R143" s="2" t="s">
        <v>1021</v>
      </c>
      <c r="S143" s="2" t="s">
        <v>1022</v>
      </c>
      <c r="T143" s="3" t="s">
        <v>1023</v>
      </c>
      <c r="U143" s="3" t="s">
        <v>1016</v>
      </c>
      <c r="V143" s="3" t="s">
        <v>1024</v>
      </c>
      <c r="W143" s="3" t="s">
        <v>1025</v>
      </c>
      <c r="X143" s="2" t="n">
        <v>8</v>
      </c>
      <c r="Y143" s="2" t="n">
        <v>3</v>
      </c>
      <c r="Z143" s="2" t="s">
        <v>47</v>
      </c>
      <c r="AA143" s="3"/>
      <c r="AB143" s="5"/>
      <c r="AC143" s="5"/>
      <c r="AD143" s="3"/>
      <c r="AE143" s="3" t="s">
        <v>1026</v>
      </c>
    </row>
    <row r="144" customFormat="false" ht="60" hidden="false" customHeight="true" outlineLevel="0" collapsed="false">
      <c r="A144" s="2" t="s">
        <v>1027</v>
      </c>
      <c r="B144" s="2" t="n">
        <v>2022</v>
      </c>
      <c r="C144" s="2" t="s">
        <v>389</v>
      </c>
      <c r="D144" s="2" t="s">
        <v>33</v>
      </c>
      <c r="E144" s="2" t="s">
        <v>34</v>
      </c>
      <c r="F144" s="2" t="n">
        <v>1</v>
      </c>
      <c r="G144" s="2" t="s">
        <v>63</v>
      </c>
      <c r="H144" s="2"/>
      <c r="I144" s="2" t="n">
        <v>4</v>
      </c>
      <c r="J144" s="2" t="n">
        <v>0</v>
      </c>
      <c r="K144" s="2" t="s">
        <v>64</v>
      </c>
      <c r="L144" s="2"/>
      <c r="M144" s="2"/>
      <c r="N144" s="2"/>
      <c r="O144" s="3"/>
      <c r="P144" s="2" t="s">
        <v>142</v>
      </c>
      <c r="Q144" s="2" t="s">
        <v>143</v>
      </c>
      <c r="R144" s="2" t="s">
        <v>144</v>
      </c>
      <c r="S144" s="2" t="s">
        <v>1028</v>
      </c>
      <c r="T144" s="3" t="s">
        <v>1029</v>
      </c>
      <c r="U144" s="3" t="s">
        <v>1016</v>
      </c>
      <c r="V144" s="3" t="s">
        <v>1030</v>
      </c>
      <c r="W144" s="3" t="s">
        <v>1031</v>
      </c>
      <c r="X144" s="2" t="n">
        <v>8</v>
      </c>
      <c r="Y144" s="2" t="n">
        <v>3</v>
      </c>
      <c r="Z144" s="2" t="s">
        <v>47</v>
      </c>
      <c r="AA144" s="3"/>
      <c r="AB144" s="5"/>
      <c r="AC144" s="5"/>
      <c r="AD144" s="3"/>
      <c r="AE144" s="3" t="s">
        <v>1032</v>
      </c>
    </row>
    <row r="145" customFormat="false" ht="60" hidden="false" customHeight="true" outlineLevel="0" collapsed="false">
      <c r="A145" s="2" t="s">
        <v>1033</v>
      </c>
      <c r="B145" s="2" t="n">
        <v>2022</v>
      </c>
      <c r="C145" s="2" t="s">
        <v>389</v>
      </c>
      <c r="D145" s="2" t="s">
        <v>33</v>
      </c>
      <c r="E145" s="2" t="s">
        <v>34</v>
      </c>
      <c r="F145" s="2" t="n">
        <v>1</v>
      </c>
      <c r="G145" s="2" t="s">
        <v>72</v>
      </c>
      <c r="H145" s="2"/>
      <c r="I145" s="2" t="n">
        <v>3</v>
      </c>
      <c r="J145" s="2" t="n">
        <v>0</v>
      </c>
      <c r="K145" s="2" t="s">
        <v>64</v>
      </c>
      <c r="L145" s="2"/>
      <c r="M145" s="2" t="s">
        <v>37</v>
      </c>
      <c r="N145" s="2"/>
      <c r="O145" s="3" t="s">
        <v>73</v>
      </c>
      <c r="P145" s="2" t="s">
        <v>151</v>
      </c>
      <c r="Q145" s="2" t="s">
        <v>152</v>
      </c>
      <c r="R145" s="2" t="s">
        <v>950</v>
      </c>
      <c r="S145" s="2" t="s">
        <v>951</v>
      </c>
      <c r="T145" s="3" t="s">
        <v>1034</v>
      </c>
      <c r="U145" s="3" t="s">
        <v>1016</v>
      </c>
      <c r="V145" s="3" t="s">
        <v>1035</v>
      </c>
      <c r="W145" s="3" t="s">
        <v>1036</v>
      </c>
      <c r="X145" s="2" t="n">
        <v>9</v>
      </c>
      <c r="Y145" s="2" t="n">
        <v>3</v>
      </c>
      <c r="Z145" s="2" t="s">
        <v>47</v>
      </c>
      <c r="AA145" s="3"/>
      <c r="AB145" s="5"/>
      <c r="AC145" s="5"/>
      <c r="AD145" s="3" t="s">
        <v>1037</v>
      </c>
      <c r="AE145" s="3" t="s">
        <v>1038</v>
      </c>
    </row>
    <row r="146" customFormat="false" ht="60" hidden="false" customHeight="true" outlineLevel="0" collapsed="false">
      <c r="A146" s="2" t="s">
        <v>1039</v>
      </c>
      <c r="B146" s="2" t="n">
        <v>2022</v>
      </c>
      <c r="C146" s="2" t="s">
        <v>389</v>
      </c>
      <c r="D146" s="2" t="s">
        <v>33</v>
      </c>
      <c r="E146" s="2" t="s">
        <v>34</v>
      </c>
      <c r="F146" s="2" t="n">
        <v>1</v>
      </c>
      <c r="G146" s="2" t="s">
        <v>84</v>
      </c>
      <c r="H146" s="2"/>
      <c r="I146" s="2" t="n">
        <v>4</v>
      </c>
      <c r="J146" s="2" t="n">
        <v>2</v>
      </c>
      <c r="K146" s="2" t="s">
        <v>86</v>
      </c>
      <c r="L146" s="2"/>
      <c r="M146" s="2" t="s">
        <v>37</v>
      </c>
      <c r="N146" s="2"/>
      <c r="O146" s="3" t="s">
        <v>73</v>
      </c>
      <c r="P146" s="2" t="s">
        <v>151</v>
      </c>
      <c r="Q146" s="2" t="s">
        <v>152</v>
      </c>
      <c r="R146" s="2" t="s">
        <v>771</v>
      </c>
      <c r="S146" s="2" t="s">
        <v>1040</v>
      </c>
      <c r="T146" s="3" t="s">
        <v>1041</v>
      </c>
      <c r="U146" s="3" t="s">
        <v>1016</v>
      </c>
      <c r="V146" s="3" t="s">
        <v>1042</v>
      </c>
      <c r="W146" s="3" t="s">
        <v>1043</v>
      </c>
      <c r="X146" s="2" t="n">
        <v>10</v>
      </c>
      <c r="Y146" s="2" t="n">
        <v>3</v>
      </c>
      <c r="Z146" s="2" t="s">
        <v>47</v>
      </c>
      <c r="AA146" s="3"/>
      <c r="AB146" s="5"/>
      <c r="AC146" s="5"/>
      <c r="AD146" s="3"/>
      <c r="AE146" s="3" t="s">
        <v>1044</v>
      </c>
    </row>
    <row r="147" customFormat="false" ht="60" hidden="false" customHeight="true" outlineLevel="0" collapsed="false">
      <c r="A147" s="2" t="s">
        <v>1045</v>
      </c>
      <c r="B147" s="2" t="n">
        <v>2022</v>
      </c>
      <c r="C147" s="2" t="s">
        <v>389</v>
      </c>
      <c r="D147" s="2" t="s">
        <v>33</v>
      </c>
      <c r="E147" s="2" t="s">
        <v>34</v>
      </c>
      <c r="F147" s="2" t="n">
        <v>1</v>
      </c>
      <c r="G147" s="2" t="s">
        <v>96</v>
      </c>
      <c r="H147" s="2"/>
      <c r="I147" s="2" t="n">
        <v>6</v>
      </c>
      <c r="J147" s="2" t="n">
        <v>2</v>
      </c>
      <c r="K147" s="2" t="s">
        <v>85</v>
      </c>
      <c r="L147" s="2"/>
      <c r="M147" s="2"/>
      <c r="N147" s="2"/>
      <c r="O147" s="3"/>
      <c r="P147" s="2" t="s">
        <v>151</v>
      </c>
      <c r="Q147" s="2" t="s">
        <v>152</v>
      </c>
      <c r="R147" s="2" t="s">
        <v>542</v>
      </c>
      <c r="S147" s="2" t="s">
        <v>1046</v>
      </c>
      <c r="T147" s="3" t="s">
        <v>1047</v>
      </c>
      <c r="U147" s="3" t="s">
        <v>1016</v>
      </c>
      <c r="V147" s="3" t="s">
        <v>1048</v>
      </c>
      <c r="W147" s="3" t="s">
        <v>1049</v>
      </c>
      <c r="X147" s="2" t="n">
        <v>11</v>
      </c>
      <c r="Y147" s="2" t="n">
        <v>3</v>
      </c>
      <c r="Z147" s="2" t="s">
        <v>47</v>
      </c>
      <c r="AA147" s="3"/>
      <c r="AB147" s="5"/>
      <c r="AC147" s="5"/>
      <c r="AD147" s="3" t="s">
        <v>1050</v>
      </c>
      <c r="AE147" s="3" t="s">
        <v>1051</v>
      </c>
    </row>
    <row r="148" customFormat="false" ht="60" hidden="false" customHeight="true" outlineLevel="0" collapsed="false">
      <c r="A148" s="2" t="s">
        <v>1052</v>
      </c>
      <c r="B148" s="2" t="n">
        <v>2022</v>
      </c>
      <c r="C148" s="2" t="s">
        <v>389</v>
      </c>
      <c r="D148" s="2" t="s">
        <v>33</v>
      </c>
      <c r="E148" s="2" t="s">
        <v>104</v>
      </c>
      <c r="F148" s="2" t="n">
        <v>2</v>
      </c>
      <c r="G148" s="2" t="s">
        <v>35</v>
      </c>
      <c r="H148" s="2" t="s">
        <v>105</v>
      </c>
      <c r="I148" s="2" t="n">
        <v>8</v>
      </c>
      <c r="J148" s="2" t="n">
        <v>0</v>
      </c>
      <c r="K148" s="2" t="s">
        <v>64</v>
      </c>
      <c r="L148" s="2"/>
      <c r="M148" s="2"/>
      <c r="N148" s="2"/>
      <c r="O148" s="3"/>
      <c r="P148" s="2" t="s">
        <v>87</v>
      </c>
      <c r="Q148" s="2" t="s">
        <v>88</v>
      </c>
      <c r="R148" s="2" t="s">
        <v>1053</v>
      </c>
      <c r="S148" s="2" t="s">
        <v>1054</v>
      </c>
      <c r="T148" s="3" t="s">
        <v>1055</v>
      </c>
      <c r="U148" s="3"/>
      <c r="V148" s="3" t="s">
        <v>1056</v>
      </c>
      <c r="W148" s="3" t="s">
        <v>1057</v>
      </c>
      <c r="X148" s="2" t="n">
        <v>12</v>
      </c>
      <c r="Y148" s="2" t="n">
        <v>4</v>
      </c>
      <c r="Z148" s="2" t="s">
        <v>47</v>
      </c>
      <c r="AA148" s="4" t="s">
        <v>1058</v>
      </c>
      <c r="AB148" s="5"/>
      <c r="AC148" s="5"/>
      <c r="AD148" s="3"/>
      <c r="AE148" s="3" t="s">
        <v>1059</v>
      </c>
    </row>
    <row r="149" customFormat="false" ht="60" hidden="false" customHeight="true" outlineLevel="0" collapsed="false">
      <c r="A149" s="2" t="s">
        <v>1060</v>
      </c>
      <c r="B149" s="2" t="n">
        <v>2022</v>
      </c>
      <c r="C149" s="2" t="s">
        <v>389</v>
      </c>
      <c r="D149" s="2" t="s">
        <v>33</v>
      </c>
      <c r="E149" s="2" t="s">
        <v>104</v>
      </c>
      <c r="F149" s="2" t="n">
        <v>2</v>
      </c>
      <c r="G149" s="2" t="s">
        <v>52</v>
      </c>
      <c r="H149" s="2" t="s">
        <v>105</v>
      </c>
      <c r="I149" s="2" t="n">
        <v>12</v>
      </c>
      <c r="J149" s="2" t="n">
        <v>4</v>
      </c>
      <c r="K149" s="2" t="s">
        <v>85</v>
      </c>
      <c r="L149" s="2"/>
      <c r="M149" s="2"/>
      <c r="N149" s="2"/>
      <c r="O149" s="3"/>
      <c r="P149" s="2" t="s">
        <v>87</v>
      </c>
      <c r="Q149" s="2" t="s">
        <v>88</v>
      </c>
      <c r="R149" s="2" t="s">
        <v>663</v>
      </c>
      <c r="S149" s="2" t="s">
        <v>1061</v>
      </c>
      <c r="T149" s="3" t="s">
        <v>1062</v>
      </c>
      <c r="U149" s="3"/>
      <c r="V149" s="3" t="s">
        <v>1063</v>
      </c>
      <c r="W149" s="3" t="s">
        <v>1064</v>
      </c>
      <c r="X149" s="2" t="n">
        <v>13</v>
      </c>
      <c r="Y149" s="2" t="n">
        <v>4</v>
      </c>
      <c r="Z149" s="2" t="s">
        <v>47</v>
      </c>
      <c r="AA149" s="3"/>
      <c r="AB149" s="5"/>
      <c r="AC149" s="5"/>
      <c r="AD149" s="3" t="s">
        <v>1065</v>
      </c>
      <c r="AE149" s="3" t="s">
        <v>1066</v>
      </c>
    </row>
    <row r="150" customFormat="false" ht="60" hidden="false" customHeight="true" outlineLevel="0" collapsed="false">
      <c r="A150" s="2" t="s">
        <v>1067</v>
      </c>
      <c r="B150" s="2" t="n">
        <v>2022</v>
      </c>
      <c r="C150" s="2" t="s">
        <v>389</v>
      </c>
      <c r="D150" s="2" t="s">
        <v>33</v>
      </c>
      <c r="E150" s="2" t="s">
        <v>104</v>
      </c>
      <c r="F150" s="2" t="n">
        <v>3</v>
      </c>
      <c r="G150" s="2" t="s">
        <v>35</v>
      </c>
      <c r="H150" s="2" t="s">
        <v>105</v>
      </c>
      <c r="I150" s="2" t="n">
        <v>8</v>
      </c>
      <c r="J150" s="2" t="n">
        <v>0</v>
      </c>
      <c r="K150" s="2" t="s">
        <v>64</v>
      </c>
      <c r="L150" s="2"/>
      <c r="M150" s="2"/>
      <c r="N150" s="2"/>
      <c r="O150" s="3"/>
      <c r="P150" s="2" t="s">
        <v>106</v>
      </c>
      <c r="Q150" s="2" t="s">
        <v>107</v>
      </c>
      <c r="R150" s="2" t="s">
        <v>519</v>
      </c>
      <c r="S150" s="2" t="s">
        <v>1068</v>
      </c>
      <c r="T150" s="3" t="s">
        <v>1069</v>
      </c>
      <c r="U150" s="3"/>
      <c r="V150" s="3" t="s">
        <v>1070</v>
      </c>
      <c r="W150" s="3" t="s">
        <v>1071</v>
      </c>
      <c r="X150" s="2" t="n">
        <v>14</v>
      </c>
      <c r="Y150" s="2" t="n">
        <v>4</v>
      </c>
      <c r="Z150" s="2" t="s">
        <v>47</v>
      </c>
      <c r="AA150" s="3"/>
      <c r="AB150" s="5"/>
      <c r="AC150" s="5"/>
      <c r="AD150" s="3" t="s">
        <v>1072</v>
      </c>
      <c r="AE150" s="3" t="s">
        <v>1073</v>
      </c>
    </row>
    <row r="151" customFormat="false" ht="60" hidden="false" customHeight="true" outlineLevel="0" collapsed="false">
      <c r="A151" s="2" t="s">
        <v>1074</v>
      </c>
      <c r="B151" s="2" t="n">
        <v>2022</v>
      </c>
      <c r="C151" s="2" t="s">
        <v>389</v>
      </c>
      <c r="D151" s="2" t="s">
        <v>33</v>
      </c>
      <c r="E151" s="2" t="s">
        <v>104</v>
      </c>
      <c r="F151" s="2" t="n">
        <v>3</v>
      </c>
      <c r="G151" s="2" t="s">
        <v>52</v>
      </c>
      <c r="H151" s="2" t="s">
        <v>105</v>
      </c>
      <c r="I151" s="2" t="n">
        <v>12</v>
      </c>
      <c r="J151" s="2" t="n">
        <v>4</v>
      </c>
      <c r="K151" s="2" t="s">
        <v>85</v>
      </c>
      <c r="L151" s="2" t="s">
        <v>86</v>
      </c>
      <c r="M151" s="2"/>
      <c r="N151" s="2"/>
      <c r="O151" s="3"/>
      <c r="P151" s="2" t="s">
        <v>115</v>
      </c>
      <c r="Q151" s="2" t="s">
        <v>116</v>
      </c>
      <c r="R151" s="2" t="s">
        <v>497</v>
      </c>
      <c r="S151" s="2" t="s">
        <v>1075</v>
      </c>
      <c r="T151" s="3" t="s">
        <v>1076</v>
      </c>
      <c r="U151" s="3"/>
      <c r="V151" s="3" t="s">
        <v>1077</v>
      </c>
      <c r="W151" s="3" t="s">
        <v>1078</v>
      </c>
      <c r="X151" s="2" t="n">
        <v>15</v>
      </c>
      <c r="Y151" s="2" t="n">
        <v>4</v>
      </c>
      <c r="Z151" s="2" t="s">
        <v>47</v>
      </c>
      <c r="AA151" s="3"/>
      <c r="AB151" s="5"/>
      <c r="AC151" s="5"/>
      <c r="AD151" s="3"/>
      <c r="AE151" s="3" t="s">
        <v>1079</v>
      </c>
    </row>
    <row r="152" customFormat="false" ht="60" hidden="false" customHeight="true" outlineLevel="0" collapsed="false">
      <c r="A152" s="2" t="s">
        <v>1080</v>
      </c>
      <c r="B152" s="2" t="n">
        <v>2022</v>
      </c>
      <c r="C152" s="2" t="s">
        <v>389</v>
      </c>
      <c r="D152" s="2" t="s">
        <v>33</v>
      </c>
      <c r="E152" s="2" t="s">
        <v>104</v>
      </c>
      <c r="F152" s="2" t="n">
        <v>4</v>
      </c>
      <c r="G152" s="2" t="s">
        <v>35</v>
      </c>
      <c r="H152" s="2" t="s">
        <v>105</v>
      </c>
      <c r="I152" s="2" t="n">
        <v>8</v>
      </c>
      <c r="J152" s="2" t="n">
        <v>0</v>
      </c>
      <c r="K152" s="2" t="s">
        <v>64</v>
      </c>
      <c r="L152" s="2"/>
      <c r="M152" s="2"/>
      <c r="N152" s="2"/>
      <c r="O152" s="3"/>
      <c r="P152" s="2" t="s">
        <v>74</v>
      </c>
      <c r="Q152" s="2" t="s">
        <v>75</v>
      </c>
      <c r="R152" s="2" t="s">
        <v>1081</v>
      </c>
      <c r="S152" s="2" t="s">
        <v>1082</v>
      </c>
      <c r="T152" s="3" t="s">
        <v>1083</v>
      </c>
      <c r="U152" s="3"/>
      <c r="V152" s="3" t="s">
        <v>1084</v>
      </c>
      <c r="W152" s="3" t="s">
        <v>1085</v>
      </c>
      <c r="X152" s="2" t="n">
        <v>16</v>
      </c>
      <c r="Y152" s="2" t="n">
        <v>4</v>
      </c>
      <c r="Z152" s="2" t="s">
        <v>47</v>
      </c>
      <c r="AA152" s="3"/>
      <c r="AB152" s="5"/>
      <c r="AC152" s="5"/>
      <c r="AD152" s="3"/>
      <c r="AE152" s="3" t="s">
        <v>1086</v>
      </c>
    </row>
    <row r="153" customFormat="false" ht="60" hidden="false" customHeight="true" outlineLevel="0" collapsed="false">
      <c r="A153" s="2" t="s">
        <v>1087</v>
      </c>
      <c r="B153" s="2" t="n">
        <v>2022</v>
      </c>
      <c r="C153" s="2" t="s">
        <v>389</v>
      </c>
      <c r="D153" s="2" t="s">
        <v>33</v>
      </c>
      <c r="E153" s="2" t="s">
        <v>104</v>
      </c>
      <c r="F153" s="2" t="n">
        <v>4</v>
      </c>
      <c r="G153" s="2" t="s">
        <v>52</v>
      </c>
      <c r="H153" s="2" t="s">
        <v>105</v>
      </c>
      <c r="I153" s="2" t="n">
        <v>12</v>
      </c>
      <c r="J153" s="2" t="n">
        <v>4</v>
      </c>
      <c r="K153" s="2" t="s">
        <v>85</v>
      </c>
      <c r="L153" s="2" t="s">
        <v>86</v>
      </c>
      <c r="M153" s="2"/>
      <c r="N153" s="2"/>
      <c r="O153" s="3"/>
      <c r="P153" s="2" t="s">
        <v>193</v>
      </c>
      <c r="Q153" s="2" t="s">
        <v>194</v>
      </c>
      <c r="R153" s="2" t="s">
        <v>528</v>
      </c>
      <c r="S153" s="2" t="s">
        <v>649</v>
      </c>
      <c r="T153" s="3" t="s">
        <v>1088</v>
      </c>
      <c r="U153" s="3"/>
      <c r="V153" s="3" t="s">
        <v>1089</v>
      </c>
      <c r="W153" s="3" t="s">
        <v>1090</v>
      </c>
      <c r="X153" s="2" t="n">
        <v>17</v>
      </c>
      <c r="Y153" s="2" t="n">
        <v>4</v>
      </c>
      <c r="Z153" s="2" t="s">
        <v>47</v>
      </c>
      <c r="AA153" s="3"/>
      <c r="AB153" s="5"/>
      <c r="AC153" s="5"/>
      <c r="AD153" s="3"/>
      <c r="AE153" s="3" t="s">
        <v>1091</v>
      </c>
    </row>
    <row r="154" customFormat="false" ht="60" hidden="false" customHeight="true" outlineLevel="0" collapsed="false">
      <c r="A154" s="2" t="s">
        <v>1092</v>
      </c>
      <c r="B154" s="2" t="n">
        <v>2022</v>
      </c>
      <c r="C154" s="2" t="s">
        <v>389</v>
      </c>
      <c r="D154" s="2" t="s">
        <v>316</v>
      </c>
      <c r="E154" s="2" t="s">
        <v>34</v>
      </c>
      <c r="F154" s="2" t="n">
        <v>1</v>
      </c>
      <c r="G154" s="2" t="s">
        <v>35</v>
      </c>
      <c r="H154" s="2"/>
      <c r="I154" s="2" t="n">
        <v>2</v>
      </c>
      <c r="J154" s="2" t="n">
        <v>0</v>
      </c>
      <c r="K154" s="2" t="s">
        <v>64</v>
      </c>
      <c r="L154" s="2"/>
      <c r="M154" s="2"/>
      <c r="N154" s="2"/>
      <c r="O154" s="3"/>
      <c r="P154" s="2" t="s">
        <v>332</v>
      </c>
      <c r="Q154" s="2" t="s">
        <v>333</v>
      </c>
      <c r="R154" s="2" t="s">
        <v>334</v>
      </c>
      <c r="S154" s="2" t="s">
        <v>335</v>
      </c>
      <c r="T154" s="3" t="s">
        <v>1093</v>
      </c>
      <c r="U154" s="3" t="s">
        <v>1094</v>
      </c>
      <c r="V154" s="3" t="s">
        <v>1095</v>
      </c>
      <c r="W154" s="3" t="s">
        <v>1096</v>
      </c>
      <c r="X154" s="2" t="n">
        <v>8</v>
      </c>
      <c r="Y154" s="2" t="n">
        <v>3</v>
      </c>
      <c r="Z154" s="2" t="s">
        <v>47</v>
      </c>
      <c r="AA154" s="3"/>
      <c r="AB154" s="5"/>
      <c r="AC154" s="5"/>
      <c r="AD154" s="3"/>
      <c r="AE154" s="3" t="s">
        <v>1097</v>
      </c>
    </row>
    <row r="155" customFormat="false" ht="60" hidden="false" customHeight="true" outlineLevel="0" collapsed="false">
      <c r="A155" s="2" t="s">
        <v>1098</v>
      </c>
      <c r="B155" s="2" t="n">
        <v>2022</v>
      </c>
      <c r="C155" s="2" t="s">
        <v>389</v>
      </c>
      <c r="D155" s="2" t="s">
        <v>316</v>
      </c>
      <c r="E155" s="2" t="s">
        <v>34</v>
      </c>
      <c r="F155" s="2" t="n">
        <v>1</v>
      </c>
      <c r="G155" s="2" t="s">
        <v>483</v>
      </c>
      <c r="H155" s="2"/>
      <c r="I155" s="2" t="n">
        <v>1</v>
      </c>
      <c r="J155" s="2" t="n">
        <v>0</v>
      </c>
      <c r="K155" s="2" t="s">
        <v>280</v>
      </c>
      <c r="L155" s="2"/>
      <c r="M155" s="2"/>
      <c r="N155" s="2"/>
      <c r="O155" s="3"/>
      <c r="P155" s="2" t="s">
        <v>151</v>
      </c>
      <c r="Q155" s="2" t="s">
        <v>152</v>
      </c>
      <c r="R155" s="2" t="s">
        <v>950</v>
      </c>
      <c r="S155" s="2" t="s">
        <v>1099</v>
      </c>
      <c r="T155" s="3" t="s">
        <v>1100</v>
      </c>
      <c r="U155" s="3" t="s">
        <v>1094</v>
      </c>
      <c r="V155" s="3" t="s">
        <v>1101</v>
      </c>
      <c r="W155" s="3" t="s">
        <v>1102</v>
      </c>
      <c r="X155" s="2" t="n">
        <v>8</v>
      </c>
      <c r="Y155" s="2" t="n">
        <v>3</v>
      </c>
      <c r="Z155" s="2" t="s">
        <v>47</v>
      </c>
      <c r="AA155" s="3"/>
      <c r="AB155" s="5"/>
      <c r="AC155" s="5"/>
      <c r="AD155" s="3"/>
      <c r="AE155" s="3" t="s">
        <v>1103</v>
      </c>
    </row>
    <row r="156" customFormat="false" ht="60" hidden="false" customHeight="true" outlineLevel="0" collapsed="false">
      <c r="A156" s="2" t="s">
        <v>1104</v>
      </c>
      <c r="B156" s="2" t="n">
        <v>2022</v>
      </c>
      <c r="C156" s="2" t="s">
        <v>389</v>
      </c>
      <c r="D156" s="2" t="s">
        <v>316</v>
      </c>
      <c r="E156" s="2" t="s">
        <v>34</v>
      </c>
      <c r="F156" s="2" t="n">
        <v>1</v>
      </c>
      <c r="G156" s="2" t="s">
        <v>490</v>
      </c>
      <c r="H156" s="2"/>
      <c r="I156" s="2" t="n">
        <v>3</v>
      </c>
      <c r="J156" s="2" t="n">
        <v>0</v>
      </c>
      <c r="K156" s="2" t="s">
        <v>64</v>
      </c>
      <c r="L156" s="2"/>
      <c r="M156" s="2"/>
      <c r="N156" s="2"/>
      <c r="O156" s="3"/>
      <c r="P156" s="2" t="s">
        <v>151</v>
      </c>
      <c r="Q156" s="2" t="s">
        <v>152</v>
      </c>
      <c r="R156" s="2" t="s">
        <v>1105</v>
      </c>
      <c r="S156" s="2" t="s">
        <v>1106</v>
      </c>
      <c r="T156" s="3" t="s">
        <v>1107</v>
      </c>
      <c r="U156" s="3" t="s">
        <v>1094</v>
      </c>
      <c r="V156" s="3" t="s">
        <v>1108</v>
      </c>
      <c r="W156" s="3" t="s">
        <v>1109</v>
      </c>
      <c r="X156" s="2" t="n">
        <v>8</v>
      </c>
      <c r="Y156" s="2" t="n">
        <v>3</v>
      </c>
      <c r="Z156" s="2" t="s">
        <v>47</v>
      </c>
      <c r="AA156" s="3"/>
      <c r="AB156" s="5"/>
      <c r="AC156" s="5"/>
      <c r="AD156" s="3"/>
      <c r="AE156" s="3" t="s">
        <v>1110</v>
      </c>
    </row>
    <row r="157" customFormat="false" ht="60" hidden="false" customHeight="true" outlineLevel="0" collapsed="false">
      <c r="A157" s="2" t="s">
        <v>1111</v>
      </c>
      <c r="B157" s="2" t="n">
        <v>2022</v>
      </c>
      <c r="C157" s="2" t="s">
        <v>389</v>
      </c>
      <c r="D157" s="2" t="s">
        <v>316</v>
      </c>
      <c r="E157" s="2" t="s">
        <v>34</v>
      </c>
      <c r="F157" s="2" t="n">
        <v>1</v>
      </c>
      <c r="G157" s="2" t="s">
        <v>63</v>
      </c>
      <c r="H157" s="2"/>
      <c r="I157" s="2" t="n">
        <v>4</v>
      </c>
      <c r="J157" s="2" t="n">
        <v>0</v>
      </c>
      <c r="K157" s="2" t="s">
        <v>740</v>
      </c>
      <c r="L157" s="2"/>
      <c r="M157" s="2" t="s">
        <v>37</v>
      </c>
      <c r="N157" s="2"/>
      <c r="O157" s="3" t="s">
        <v>73</v>
      </c>
      <c r="P157" s="2" t="s">
        <v>151</v>
      </c>
      <c r="Q157" s="2" t="s">
        <v>152</v>
      </c>
      <c r="R157" s="2" t="s">
        <v>346</v>
      </c>
      <c r="S157" s="2" t="s">
        <v>361</v>
      </c>
      <c r="T157" s="3" t="s">
        <v>1112</v>
      </c>
      <c r="U157" s="3" t="s">
        <v>1094</v>
      </c>
      <c r="V157" s="3" t="s">
        <v>1113</v>
      </c>
      <c r="W157" s="3" t="s">
        <v>1114</v>
      </c>
      <c r="X157" s="2" t="n">
        <v>9</v>
      </c>
      <c r="Y157" s="2" t="n">
        <v>3</v>
      </c>
      <c r="Z157" s="2" t="s">
        <v>47</v>
      </c>
      <c r="AA157" s="3"/>
      <c r="AB157" s="5"/>
      <c r="AC157" s="5"/>
      <c r="AD157" s="3"/>
      <c r="AE157" s="3" t="s">
        <v>1115</v>
      </c>
    </row>
    <row r="158" customFormat="false" ht="60" hidden="false" customHeight="true" outlineLevel="0" collapsed="false">
      <c r="A158" s="2" t="s">
        <v>1116</v>
      </c>
      <c r="B158" s="2" t="n">
        <v>2022</v>
      </c>
      <c r="C158" s="2" t="s">
        <v>389</v>
      </c>
      <c r="D158" s="2" t="s">
        <v>316</v>
      </c>
      <c r="E158" s="2" t="s">
        <v>34</v>
      </c>
      <c r="F158" s="2" t="n">
        <v>1</v>
      </c>
      <c r="G158" s="2" t="s">
        <v>72</v>
      </c>
      <c r="H158" s="2"/>
      <c r="I158" s="2" t="n">
        <v>4</v>
      </c>
      <c r="J158" s="2" t="n">
        <v>0</v>
      </c>
      <c r="K158" s="2" t="s">
        <v>64</v>
      </c>
      <c r="L158" s="2"/>
      <c r="M158" s="2"/>
      <c r="N158" s="2"/>
      <c r="O158" s="3"/>
      <c r="P158" s="2" t="s">
        <v>151</v>
      </c>
      <c r="Q158" s="2" t="s">
        <v>152</v>
      </c>
      <c r="R158" s="2" t="s">
        <v>950</v>
      </c>
      <c r="S158" s="2" t="s">
        <v>1117</v>
      </c>
      <c r="T158" s="3" t="s">
        <v>1118</v>
      </c>
      <c r="U158" s="3" t="s">
        <v>1094</v>
      </c>
      <c r="V158" s="3" t="s">
        <v>1119</v>
      </c>
      <c r="W158" s="3" t="s">
        <v>1120</v>
      </c>
      <c r="X158" s="2" t="n">
        <v>9</v>
      </c>
      <c r="Y158" s="2" t="n">
        <v>3</v>
      </c>
      <c r="Z158" s="2" t="s">
        <v>47</v>
      </c>
      <c r="AA158" s="3"/>
      <c r="AB158" s="5"/>
      <c r="AC158" s="5"/>
      <c r="AD158" s="3"/>
      <c r="AE158" s="3" t="s">
        <v>1121</v>
      </c>
    </row>
    <row r="159" customFormat="false" ht="60" hidden="false" customHeight="true" outlineLevel="0" collapsed="false">
      <c r="A159" s="2" t="s">
        <v>1122</v>
      </c>
      <c r="B159" s="2" t="n">
        <v>2022</v>
      </c>
      <c r="C159" s="2" t="s">
        <v>389</v>
      </c>
      <c r="D159" s="2" t="s">
        <v>316</v>
      </c>
      <c r="E159" s="2" t="s">
        <v>34</v>
      </c>
      <c r="F159" s="2" t="n">
        <v>1</v>
      </c>
      <c r="G159" s="2" t="s">
        <v>84</v>
      </c>
      <c r="H159" s="2"/>
      <c r="I159" s="2" t="n">
        <v>6</v>
      </c>
      <c r="J159" s="2" t="n">
        <v>3</v>
      </c>
      <c r="K159" s="2" t="s">
        <v>85</v>
      </c>
      <c r="L159" s="2"/>
      <c r="M159" s="2"/>
      <c r="N159" s="2"/>
      <c r="O159" s="3"/>
      <c r="P159" s="2" t="s">
        <v>193</v>
      </c>
      <c r="Q159" s="2" t="s">
        <v>194</v>
      </c>
      <c r="R159" s="2" t="s">
        <v>1123</v>
      </c>
      <c r="S159" s="2" t="s">
        <v>1124</v>
      </c>
      <c r="T159" s="3" t="s">
        <v>1125</v>
      </c>
      <c r="U159" s="3" t="s">
        <v>1094</v>
      </c>
      <c r="V159" s="3" t="s">
        <v>1126</v>
      </c>
      <c r="W159" s="3" t="s">
        <v>1127</v>
      </c>
      <c r="X159" s="2" t="n">
        <v>9</v>
      </c>
      <c r="Y159" s="2" t="n">
        <v>3</v>
      </c>
      <c r="Z159" s="2" t="s">
        <v>47</v>
      </c>
      <c r="AA159" s="3"/>
      <c r="AB159" s="5"/>
      <c r="AC159" s="5"/>
      <c r="AD159" s="3"/>
      <c r="AE159" s="3" t="s">
        <v>1128</v>
      </c>
    </row>
    <row r="160" customFormat="false" ht="60" hidden="false" customHeight="true" outlineLevel="0" collapsed="false">
      <c r="A160" s="2" t="s">
        <v>1129</v>
      </c>
      <c r="B160" s="2" t="n">
        <v>2022</v>
      </c>
      <c r="C160" s="2" t="s">
        <v>389</v>
      </c>
      <c r="D160" s="2" t="s">
        <v>316</v>
      </c>
      <c r="E160" s="2" t="s">
        <v>104</v>
      </c>
      <c r="F160" s="2" t="n">
        <v>2</v>
      </c>
      <c r="G160" s="2" t="s">
        <v>35</v>
      </c>
      <c r="H160" s="2" t="s">
        <v>105</v>
      </c>
      <c r="I160" s="2" t="n">
        <v>8</v>
      </c>
      <c r="J160" s="2" t="n">
        <v>0</v>
      </c>
      <c r="K160" s="2" t="s">
        <v>64</v>
      </c>
      <c r="L160" s="2"/>
      <c r="M160" s="2"/>
      <c r="N160" s="2"/>
      <c r="O160" s="3"/>
      <c r="P160" s="2" t="s">
        <v>209</v>
      </c>
      <c r="Q160" s="2" t="s">
        <v>210</v>
      </c>
      <c r="R160" s="2" t="s">
        <v>1130</v>
      </c>
      <c r="S160" s="2" t="s">
        <v>1131</v>
      </c>
      <c r="T160" s="3" t="s">
        <v>1132</v>
      </c>
      <c r="U160" s="3"/>
      <c r="V160" s="3" t="s">
        <v>1133</v>
      </c>
      <c r="W160" s="3" t="s">
        <v>1134</v>
      </c>
      <c r="X160" s="2" t="n">
        <v>10</v>
      </c>
      <c r="Y160" s="2" t="n">
        <v>4</v>
      </c>
      <c r="Z160" s="2" t="s">
        <v>47</v>
      </c>
      <c r="AA160" s="3"/>
      <c r="AB160" s="5"/>
      <c r="AC160" s="5"/>
      <c r="AD160" s="3"/>
      <c r="AE160" s="3" t="s">
        <v>1135</v>
      </c>
    </row>
    <row r="161" customFormat="false" ht="60" hidden="false" customHeight="true" outlineLevel="0" collapsed="false">
      <c r="A161" s="2" t="s">
        <v>1136</v>
      </c>
      <c r="B161" s="2" t="n">
        <v>2022</v>
      </c>
      <c r="C161" s="2" t="s">
        <v>389</v>
      </c>
      <c r="D161" s="2" t="s">
        <v>316</v>
      </c>
      <c r="E161" s="2" t="s">
        <v>104</v>
      </c>
      <c r="F161" s="2" t="n">
        <v>2</v>
      </c>
      <c r="G161" s="2" t="s">
        <v>52</v>
      </c>
      <c r="H161" s="2" t="s">
        <v>105</v>
      </c>
      <c r="I161" s="2" t="n">
        <v>12</v>
      </c>
      <c r="J161" s="2" t="n">
        <v>4</v>
      </c>
      <c r="K161" s="2" t="s">
        <v>85</v>
      </c>
      <c r="L161" s="2"/>
      <c r="M161" s="2"/>
      <c r="N161" s="2"/>
      <c r="O161" s="3" t="s">
        <v>232</v>
      </c>
      <c r="P161" s="2" t="s">
        <v>151</v>
      </c>
      <c r="Q161" s="2" t="s">
        <v>152</v>
      </c>
      <c r="R161" s="2" t="s">
        <v>950</v>
      </c>
      <c r="S161" s="2" t="s">
        <v>951</v>
      </c>
      <c r="T161" s="3" t="s">
        <v>1137</v>
      </c>
      <c r="U161" s="3"/>
      <c r="V161" s="3" t="s">
        <v>1138</v>
      </c>
      <c r="W161" s="3" t="s">
        <v>1139</v>
      </c>
      <c r="X161" s="2" t="n">
        <v>11</v>
      </c>
      <c r="Y161" s="2" t="n">
        <v>4</v>
      </c>
      <c r="Z161" s="2" t="s">
        <v>47</v>
      </c>
      <c r="AA161" s="3"/>
      <c r="AB161" s="5"/>
      <c r="AC161" s="5"/>
      <c r="AD161" s="3" t="s">
        <v>1140</v>
      </c>
      <c r="AE161" s="3" t="s">
        <v>1141</v>
      </c>
    </row>
    <row r="162" customFormat="false" ht="60" hidden="false" customHeight="true" outlineLevel="0" collapsed="false">
      <c r="A162" s="2" t="s">
        <v>1142</v>
      </c>
      <c r="B162" s="2" t="n">
        <v>2022</v>
      </c>
      <c r="C162" s="2" t="s">
        <v>389</v>
      </c>
      <c r="D162" s="2" t="s">
        <v>316</v>
      </c>
      <c r="E162" s="2" t="s">
        <v>104</v>
      </c>
      <c r="F162" s="2" t="n">
        <v>3</v>
      </c>
      <c r="G162" s="2" t="s">
        <v>35</v>
      </c>
      <c r="H162" s="2" t="s">
        <v>105</v>
      </c>
      <c r="I162" s="2" t="n">
        <v>8</v>
      </c>
      <c r="J162" s="2" t="n">
        <v>0</v>
      </c>
      <c r="K162" s="2" t="s">
        <v>64</v>
      </c>
      <c r="L162" s="2"/>
      <c r="M162" s="2"/>
      <c r="N162" s="2"/>
      <c r="O162" s="3"/>
      <c r="P162" s="2" t="s">
        <v>54</v>
      </c>
      <c r="Q162" s="2" t="s">
        <v>55</v>
      </c>
      <c r="R162" s="2" t="s">
        <v>1143</v>
      </c>
      <c r="S162" s="2" t="s">
        <v>1144</v>
      </c>
      <c r="T162" s="3" t="s">
        <v>1145</v>
      </c>
      <c r="U162" s="3"/>
      <c r="V162" s="3" t="s">
        <v>1146</v>
      </c>
      <c r="W162" s="3" t="s">
        <v>1147</v>
      </c>
      <c r="X162" s="2" t="n">
        <v>12</v>
      </c>
      <c r="Y162" s="2" t="n">
        <v>4</v>
      </c>
      <c r="Z162" s="2" t="s">
        <v>47</v>
      </c>
      <c r="AA162" s="3"/>
      <c r="AB162" s="5"/>
      <c r="AC162" s="5"/>
      <c r="AD162" s="3"/>
      <c r="AE162" s="3" t="s">
        <v>1148</v>
      </c>
    </row>
    <row r="163" customFormat="false" ht="60" hidden="false" customHeight="true" outlineLevel="0" collapsed="false">
      <c r="A163" s="2" t="s">
        <v>1149</v>
      </c>
      <c r="B163" s="2" t="n">
        <v>2022</v>
      </c>
      <c r="C163" s="2" t="s">
        <v>389</v>
      </c>
      <c r="D163" s="2" t="s">
        <v>316</v>
      </c>
      <c r="E163" s="2" t="s">
        <v>104</v>
      </c>
      <c r="F163" s="2" t="n">
        <v>3</v>
      </c>
      <c r="G163" s="2" t="s">
        <v>52</v>
      </c>
      <c r="H163" s="2" t="s">
        <v>105</v>
      </c>
      <c r="I163" s="2" t="n">
        <v>12</v>
      </c>
      <c r="J163" s="2" t="n">
        <v>4</v>
      </c>
      <c r="K163" s="2" t="s">
        <v>85</v>
      </c>
      <c r="L163" s="2"/>
      <c r="M163" s="2"/>
      <c r="N163" s="2"/>
      <c r="O163" s="3" t="s">
        <v>308</v>
      </c>
      <c r="P163" s="2" t="s">
        <v>54</v>
      </c>
      <c r="Q163" s="2" t="s">
        <v>55</v>
      </c>
      <c r="R163" s="2" t="s">
        <v>1150</v>
      </c>
      <c r="S163" s="2" t="s">
        <v>1151</v>
      </c>
      <c r="T163" s="3" t="s">
        <v>1152</v>
      </c>
      <c r="U163" s="3"/>
      <c r="V163" s="3" t="s">
        <v>1153</v>
      </c>
      <c r="W163" s="3" t="s">
        <v>1154</v>
      </c>
      <c r="X163" s="2" t="n">
        <v>13</v>
      </c>
      <c r="Y163" s="2" t="n">
        <v>4</v>
      </c>
      <c r="Z163" s="2" t="s">
        <v>47</v>
      </c>
      <c r="AA163" s="3"/>
      <c r="AB163" s="5"/>
      <c r="AC163" s="5"/>
      <c r="AD163" s="3"/>
      <c r="AE163" s="3" t="s">
        <v>1155</v>
      </c>
    </row>
    <row r="164" customFormat="false" ht="60" hidden="false" customHeight="true" outlineLevel="0" collapsed="false">
      <c r="A164" s="2" t="s">
        <v>1156</v>
      </c>
      <c r="B164" s="2" t="n">
        <v>2022</v>
      </c>
      <c r="C164" s="2" t="s">
        <v>389</v>
      </c>
      <c r="D164" s="2" t="s">
        <v>316</v>
      </c>
      <c r="E164" s="2" t="s">
        <v>104</v>
      </c>
      <c r="F164" s="2" t="n">
        <v>4</v>
      </c>
      <c r="G164" s="2" t="s">
        <v>35</v>
      </c>
      <c r="H164" s="2" t="s">
        <v>105</v>
      </c>
      <c r="I164" s="2" t="n">
        <v>8</v>
      </c>
      <c r="J164" s="2" t="n">
        <v>0</v>
      </c>
      <c r="K164" s="2" t="s">
        <v>64</v>
      </c>
      <c r="L164" s="2"/>
      <c r="M164" s="2"/>
      <c r="N164" s="2"/>
      <c r="O164" s="3"/>
      <c r="P164" s="2" t="s">
        <v>193</v>
      </c>
      <c r="Q164" s="2" t="s">
        <v>194</v>
      </c>
      <c r="R164" s="2" t="s">
        <v>1157</v>
      </c>
      <c r="S164" s="2" t="s">
        <v>1158</v>
      </c>
      <c r="T164" s="3" t="s">
        <v>1159</v>
      </c>
      <c r="U164" s="3"/>
      <c r="V164" s="3" t="s">
        <v>1160</v>
      </c>
      <c r="W164" s="3" t="s">
        <v>1161</v>
      </c>
      <c r="X164" s="2" t="n">
        <v>14</v>
      </c>
      <c r="Y164" s="2" t="n">
        <v>4</v>
      </c>
      <c r="Z164" s="2" t="s">
        <v>47</v>
      </c>
      <c r="AA164" s="3"/>
      <c r="AB164" s="5"/>
      <c r="AC164" s="5"/>
      <c r="AD164" s="3"/>
      <c r="AE164" s="3" t="s">
        <v>1162</v>
      </c>
    </row>
    <row r="165" customFormat="false" ht="60" hidden="false" customHeight="true" outlineLevel="0" collapsed="false">
      <c r="A165" s="2" t="s">
        <v>1163</v>
      </c>
      <c r="B165" s="2" t="n">
        <v>2022</v>
      </c>
      <c r="C165" s="2" t="s">
        <v>389</v>
      </c>
      <c r="D165" s="2" t="s">
        <v>316</v>
      </c>
      <c r="E165" s="2" t="s">
        <v>104</v>
      </c>
      <c r="F165" s="2" t="n">
        <v>4</v>
      </c>
      <c r="G165" s="2" t="s">
        <v>52</v>
      </c>
      <c r="H165" s="2" t="s">
        <v>105</v>
      </c>
      <c r="I165" s="2" t="n">
        <v>12</v>
      </c>
      <c r="J165" s="2" t="n">
        <v>4</v>
      </c>
      <c r="K165" s="2" t="s">
        <v>85</v>
      </c>
      <c r="L165" s="2"/>
      <c r="M165" s="2"/>
      <c r="N165" s="2"/>
      <c r="O165" s="3"/>
      <c r="P165" s="2" t="s">
        <v>133</v>
      </c>
      <c r="Q165" s="2" t="s">
        <v>134</v>
      </c>
      <c r="R165" s="2" t="s">
        <v>135</v>
      </c>
      <c r="S165" s="2" t="s">
        <v>717</v>
      </c>
      <c r="T165" s="3" t="s">
        <v>1164</v>
      </c>
      <c r="U165" s="3"/>
      <c r="V165" s="3" t="s">
        <v>1165</v>
      </c>
      <c r="W165" s="3" t="s">
        <v>1166</v>
      </c>
      <c r="X165" s="2" t="n">
        <v>15</v>
      </c>
      <c r="Y165" s="2" t="n">
        <v>4</v>
      </c>
      <c r="Z165" s="2" t="s">
        <v>47</v>
      </c>
      <c r="AA165" s="3"/>
      <c r="AB165" s="5"/>
      <c r="AC165" s="5"/>
      <c r="AD165" s="3"/>
      <c r="AE165" s="3" t="s">
        <v>1167</v>
      </c>
    </row>
    <row r="166" customFormat="false" ht="60" hidden="false" customHeight="true" outlineLevel="0" collapsed="false">
      <c r="A166" s="2" t="s">
        <v>1168</v>
      </c>
      <c r="B166" s="2" t="n">
        <v>2023</v>
      </c>
      <c r="C166" s="2" t="s">
        <v>32</v>
      </c>
      <c r="D166" s="2" t="s">
        <v>33</v>
      </c>
      <c r="E166" s="2" t="s">
        <v>34</v>
      </c>
      <c r="F166" s="2" t="n">
        <v>1</v>
      </c>
      <c r="G166" s="2" t="s">
        <v>35</v>
      </c>
      <c r="H166" s="2"/>
      <c r="I166" s="2" t="n">
        <v>2</v>
      </c>
      <c r="J166" s="2" t="n">
        <v>0</v>
      </c>
      <c r="K166" s="2" t="s">
        <v>252</v>
      </c>
      <c r="L166" s="2"/>
      <c r="M166" s="2"/>
      <c r="N166" s="2"/>
      <c r="O166" s="3"/>
      <c r="P166" s="2" t="s">
        <v>39</v>
      </c>
      <c r="Q166" s="2" t="s">
        <v>40</v>
      </c>
      <c r="R166" s="2" t="s">
        <v>41</v>
      </c>
      <c r="S166" s="2" t="s">
        <v>42</v>
      </c>
      <c r="T166" s="3" t="s">
        <v>1169</v>
      </c>
      <c r="U166" s="3" t="s">
        <v>1170</v>
      </c>
      <c r="V166" s="3" t="s">
        <v>1171</v>
      </c>
      <c r="W166" s="3" t="s">
        <v>1172</v>
      </c>
      <c r="X166" s="2" t="n">
        <v>8</v>
      </c>
      <c r="Y166" s="2" t="n">
        <v>3</v>
      </c>
      <c r="Z166" s="2" t="s">
        <v>47</v>
      </c>
      <c r="AA166" s="4" t="s">
        <v>48</v>
      </c>
      <c r="AB166" s="5"/>
      <c r="AC166" s="5"/>
      <c r="AD166" s="3" t="s">
        <v>1173</v>
      </c>
      <c r="AE166" s="3" t="s">
        <v>1174</v>
      </c>
    </row>
    <row r="167" customFormat="false" ht="60" hidden="false" customHeight="true" outlineLevel="0" collapsed="false">
      <c r="A167" s="2" t="s">
        <v>1175</v>
      </c>
      <c r="B167" s="2" t="n">
        <v>2023</v>
      </c>
      <c r="C167" s="2" t="s">
        <v>32</v>
      </c>
      <c r="D167" s="2" t="s">
        <v>33</v>
      </c>
      <c r="E167" s="2" t="s">
        <v>34</v>
      </c>
      <c r="F167" s="2" t="n">
        <v>1</v>
      </c>
      <c r="G167" s="2" t="s">
        <v>52</v>
      </c>
      <c r="H167" s="2"/>
      <c r="I167" s="2" t="n">
        <v>2</v>
      </c>
      <c r="J167" s="2" t="n">
        <v>0</v>
      </c>
      <c r="K167" s="2" t="s">
        <v>64</v>
      </c>
      <c r="L167" s="2"/>
      <c r="M167" s="2"/>
      <c r="N167" s="2"/>
      <c r="O167" s="3"/>
      <c r="P167" s="2" t="s">
        <v>54</v>
      </c>
      <c r="Q167" s="2" t="s">
        <v>55</v>
      </c>
      <c r="R167" s="2" t="s">
        <v>56</v>
      </c>
      <c r="S167" s="2" t="s">
        <v>1176</v>
      </c>
      <c r="T167" s="3" t="s">
        <v>1177</v>
      </c>
      <c r="U167" s="3" t="s">
        <v>1170</v>
      </c>
      <c r="V167" s="3" t="s">
        <v>1178</v>
      </c>
      <c r="W167" s="3" t="s">
        <v>1179</v>
      </c>
      <c r="X167" s="2" t="n">
        <v>8</v>
      </c>
      <c r="Y167" s="2" t="n">
        <v>3</v>
      </c>
      <c r="Z167" s="2" t="s">
        <v>47</v>
      </c>
      <c r="AA167" s="4" t="s">
        <v>81</v>
      </c>
      <c r="AB167" s="5"/>
      <c r="AC167" s="5"/>
      <c r="AD167" s="3"/>
      <c r="AE167" s="3" t="s">
        <v>1180</v>
      </c>
    </row>
    <row r="168" customFormat="false" ht="60" hidden="false" customHeight="true" outlineLevel="0" collapsed="false">
      <c r="A168" s="2" t="s">
        <v>1181</v>
      </c>
      <c r="B168" s="2" t="n">
        <v>2023</v>
      </c>
      <c r="C168" s="2" t="s">
        <v>32</v>
      </c>
      <c r="D168" s="2" t="s">
        <v>33</v>
      </c>
      <c r="E168" s="2" t="s">
        <v>34</v>
      </c>
      <c r="F168" s="2" t="n">
        <v>1</v>
      </c>
      <c r="G168" s="2" t="s">
        <v>63</v>
      </c>
      <c r="H168" s="2"/>
      <c r="I168" s="2" t="n">
        <v>4</v>
      </c>
      <c r="J168" s="2" t="n">
        <v>1</v>
      </c>
      <c r="K168" s="2" t="s">
        <v>86</v>
      </c>
      <c r="L168" s="2"/>
      <c r="M168" s="2"/>
      <c r="N168" s="2"/>
      <c r="O168" s="3" t="s">
        <v>232</v>
      </c>
      <c r="P168" s="2" t="s">
        <v>87</v>
      </c>
      <c r="Q168" s="2" t="s">
        <v>88</v>
      </c>
      <c r="R168" s="2" t="s">
        <v>663</v>
      </c>
      <c r="S168" s="2" t="s">
        <v>636</v>
      </c>
      <c r="T168" s="3" t="s">
        <v>1182</v>
      </c>
      <c r="U168" s="3" t="s">
        <v>1170</v>
      </c>
      <c r="V168" s="3" t="s">
        <v>1183</v>
      </c>
      <c r="W168" s="3" t="s">
        <v>1184</v>
      </c>
      <c r="X168" s="2" t="n">
        <v>9</v>
      </c>
      <c r="Y168" s="2" t="n">
        <v>3</v>
      </c>
      <c r="Z168" s="2" t="s">
        <v>47</v>
      </c>
      <c r="AA168" s="4" t="s">
        <v>69</v>
      </c>
      <c r="AB168" s="5"/>
      <c r="AC168" s="5"/>
      <c r="AD168" s="3" t="s">
        <v>1185</v>
      </c>
      <c r="AE168" s="3" t="s">
        <v>1186</v>
      </c>
    </row>
    <row r="169" customFormat="false" ht="60" hidden="false" customHeight="true" outlineLevel="0" collapsed="false">
      <c r="A169" s="2" t="s">
        <v>1187</v>
      </c>
      <c r="B169" s="2" t="n">
        <v>2023</v>
      </c>
      <c r="C169" s="2" t="s">
        <v>32</v>
      </c>
      <c r="D169" s="2" t="s">
        <v>33</v>
      </c>
      <c r="E169" s="2" t="s">
        <v>34</v>
      </c>
      <c r="F169" s="2" t="n">
        <v>1</v>
      </c>
      <c r="G169" s="2" t="s">
        <v>72</v>
      </c>
      <c r="H169" s="2"/>
      <c r="I169" s="2" t="n">
        <v>6</v>
      </c>
      <c r="J169" s="2" t="n">
        <v>2</v>
      </c>
      <c r="K169" s="2" t="s">
        <v>813</v>
      </c>
      <c r="L169" s="2"/>
      <c r="M169" s="2" t="s">
        <v>37</v>
      </c>
      <c r="N169" s="2"/>
      <c r="O169" s="3" t="s">
        <v>676</v>
      </c>
      <c r="P169" s="2" t="s">
        <v>39</v>
      </c>
      <c r="Q169" s="2" t="s">
        <v>40</v>
      </c>
      <c r="R169" s="2" t="s">
        <v>301</v>
      </c>
      <c r="S169" s="2" t="s">
        <v>741</v>
      </c>
      <c r="T169" s="3" t="s">
        <v>1188</v>
      </c>
      <c r="U169" s="3" t="s">
        <v>1170</v>
      </c>
      <c r="V169" s="3" t="s">
        <v>1189</v>
      </c>
      <c r="W169" s="3" t="s">
        <v>1190</v>
      </c>
      <c r="X169" s="2" t="n">
        <v>9</v>
      </c>
      <c r="Y169" s="2" t="n">
        <v>3</v>
      </c>
      <c r="Z169" s="2" t="s">
        <v>47</v>
      </c>
      <c r="AA169" s="4" t="s">
        <v>69</v>
      </c>
      <c r="AB169" s="5"/>
      <c r="AC169" s="5"/>
      <c r="AD169" s="3"/>
      <c r="AE169" s="3" t="s">
        <v>1191</v>
      </c>
    </row>
    <row r="170" customFormat="false" ht="60" hidden="false" customHeight="true" outlineLevel="0" collapsed="false">
      <c r="A170" s="2" t="s">
        <v>1192</v>
      </c>
      <c r="B170" s="2" t="n">
        <v>2023</v>
      </c>
      <c r="C170" s="2" t="s">
        <v>32</v>
      </c>
      <c r="D170" s="2" t="s">
        <v>33</v>
      </c>
      <c r="E170" s="2" t="s">
        <v>34</v>
      </c>
      <c r="F170" s="2" t="n">
        <v>1</v>
      </c>
      <c r="G170" s="2" t="s">
        <v>84</v>
      </c>
      <c r="H170" s="2"/>
      <c r="I170" s="2" t="n">
        <v>6</v>
      </c>
      <c r="J170" s="2" t="n">
        <v>2</v>
      </c>
      <c r="K170" s="2" t="s">
        <v>813</v>
      </c>
      <c r="L170" s="2"/>
      <c r="M170" s="2"/>
      <c r="N170" s="2"/>
      <c r="O170" s="3"/>
      <c r="P170" s="2" t="s">
        <v>39</v>
      </c>
      <c r="Q170" s="2" t="s">
        <v>40</v>
      </c>
      <c r="R170" s="2" t="s">
        <v>41</v>
      </c>
      <c r="S170" s="2" t="s">
        <v>405</v>
      </c>
      <c r="T170" s="3" t="s">
        <v>1193</v>
      </c>
      <c r="U170" s="3" t="s">
        <v>1170</v>
      </c>
      <c r="V170" s="3" t="s">
        <v>1194</v>
      </c>
      <c r="W170" s="3" t="s">
        <v>1195</v>
      </c>
      <c r="X170" s="2" t="n">
        <v>10</v>
      </c>
      <c r="Y170" s="2" t="n">
        <v>3</v>
      </c>
      <c r="Z170" s="2" t="s">
        <v>47</v>
      </c>
      <c r="AA170" s="4" t="s">
        <v>69</v>
      </c>
      <c r="AB170" s="5"/>
      <c r="AC170" s="5"/>
      <c r="AD170" s="3" t="s">
        <v>1196</v>
      </c>
      <c r="AE170" s="3" t="s">
        <v>1197</v>
      </c>
    </row>
    <row r="171" customFormat="false" ht="60" hidden="false" customHeight="true" outlineLevel="0" collapsed="false">
      <c r="A171" s="2" t="s">
        <v>1198</v>
      </c>
      <c r="B171" s="2" t="n">
        <v>2023</v>
      </c>
      <c r="C171" s="2" t="s">
        <v>32</v>
      </c>
      <c r="D171" s="2" t="s">
        <v>33</v>
      </c>
      <c r="E171" s="2" t="s">
        <v>104</v>
      </c>
      <c r="F171" s="2" t="n">
        <v>2</v>
      </c>
      <c r="G171" s="2" t="s">
        <v>35</v>
      </c>
      <c r="H171" s="2" t="s">
        <v>1199</v>
      </c>
      <c r="I171" s="2" t="n">
        <v>8</v>
      </c>
      <c r="J171" s="2" t="n">
        <v>2</v>
      </c>
      <c r="K171" s="2" t="s">
        <v>64</v>
      </c>
      <c r="L171" s="2" t="s">
        <v>86</v>
      </c>
      <c r="M171" s="2"/>
      <c r="N171" s="2"/>
      <c r="O171" s="3"/>
      <c r="P171" s="2" t="s">
        <v>142</v>
      </c>
      <c r="Q171" s="2" t="s">
        <v>143</v>
      </c>
      <c r="R171" s="2" t="s">
        <v>899</v>
      </c>
      <c r="S171" s="2" t="s">
        <v>900</v>
      </c>
      <c r="T171" s="3" t="s">
        <v>1200</v>
      </c>
      <c r="U171" s="3"/>
      <c r="V171" s="3" t="s">
        <v>1201</v>
      </c>
      <c r="W171" s="3" t="s">
        <v>1202</v>
      </c>
      <c r="X171" s="2" t="n">
        <v>11</v>
      </c>
      <c r="Y171" s="2" t="n">
        <v>4</v>
      </c>
      <c r="Z171" s="2" t="s">
        <v>47</v>
      </c>
      <c r="AA171" s="3"/>
      <c r="AB171" s="5"/>
      <c r="AC171" s="5"/>
      <c r="AD171" s="3" t="s">
        <v>1203</v>
      </c>
      <c r="AE171" s="3" t="s">
        <v>1204</v>
      </c>
    </row>
    <row r="172" customFormat="false" ht="60" hidden="false" customHeight="true" outlineLevel="0" collapsed="false">
      <c r="A172" s="2" t="s">
        <v>1205</v>
      </c>
      <c r="B172" s="2" t="n">
        <v>2023</v>
      </c>
      <c r="C172" s="2" t="s">
        <v>32</v>
      </c>
      <c r="D172" s="2" t="s">
        <v>33</v>
      </c>
      <c r="E172" s="2" t="s">
        <v>104</v>
      </c>
      <c r="F172" s="2" t="n">
        <v>2</v>
      </c>
      <c r="G172" s="2" t="s">
        <v>52</v>
      </c>
      <c r="H172" s="2" t="s">
        <v>1199</v>
      </c>
      <c r="I172" s="2" t="n">
        <v>12</v>
      </c>
      <c r="J172" s="2" t="n">
        <v>4</v>
      </c>
      <c r="K172" s="2" t="s">
        <v>813</v>
      </c>
      <c r="L172" s="2"/>
      <c r="M172" s="2"/>
      <c r="N172" s="2"/>
      <c r="O172" s="3"/>
      <c r="P172" s="2" t="s">
        <v>433</v>
      </c>
      <c r="Q172" s="2" t="s">
        <v>434</v>
      </c>
      <c r="R172" s="2" t="s">
        <v>1206</v>
      </c>
      <c r="S172" s="2" t="s">
        <v>1207</v>
      </c>
      <c r="T172" s="3" t="s">
        <v>1208</v>
      </c>
      <c r="U172" s="3"/>
      <c r="V172" s="3" t="s">
        <v>1209</v>
      </c>
      <c r="W172" s="3" t="s">
        <v>1210</v>
      </c>
      <c r="X172" s="2" t="n">
        <v>12</v>
      </c>
      <c r="Y172" s="2" t="n">
        <v>4</v>
      </c>
      <c r="Z172" s="2" t="s">
        <v>47</v>
      </c>
      <c r="AA172" s="3"/>
      <c r="AB172" s="5"/>
      <c r="AC172" s="5"/>
      <c r="AD172" s="3" t="s">
        <v>1211</v>
      </c>
      <c r="AE172" s="3" t="s">
        <v>1212</v>
      </c>
    </row>
    <row r="173" customFormat="false" ht="60" hidden="false" customHeight="true" outlineLevel="0" collapsed="false">
      <c r="A173" s="2" t="s">
        <v>1213</v>
      </c>
      <c r="B173" s="2" t="n">
        <v>2023</v>
      </c>
      <c r="C173" s="2" t="s">
        <v>32</v>
      </c>
      <c r="D173" s="2" t="s">
        <v>33</v>
      </c>
      <c r="E173" s="2" t="s">
        <v>104</v>
      </c>
      <c r="F173" s="2" t="n">
        <v>3</v>
      </c>
      <c r="G173" s="2" t="s">
        <v>35</v>
      </c>
      <c r="H173" s="2" t="s">
        <v>1199</v>
      </c>
      <c r="I173" s="2" t="n">
        <v>8</v>
      </c>
      <c r="J173" s="2" t="n">
        <v>2</v>
      </c>
      <c r="K173" s="2" t="s">
        <v>64</v>
      </c>
      <c r="L173" s="2" t="s">
        <v>86</v>
      </c>
      <c r="M173" s="2"/>
      <c r="N173" s="2"/>
      <c r="O173" s="3"/>
      <c r="P173" s="2" t="s">
        <v>1214</v>
      </c>
      <c r="Q173" s="2" t="s">
        <v>1215</v>
      </c>
      <c r="R173" s="2" t="s">
        <v>1216</v>
      </c>
      <c r="S173" s="2" t="s">
        <v>1217</v>
      </c>
      <c r="T173" s="3" t="s">
        <v>1218</v>
      </c>
      <c r="U173" s="3"/>
      <c r="V173" s="3" t="s">
        <v>1219</v>
      </c>
      <c r="W173" s="3" t="s">
        <v>1220</v>
      </c>
      <c r="X173" s="2" t="n">
        <v>13</v>
      </c>
      <c r="Y173" s="2" t="n">
        <v>4</v>
      </c>
      <c r="Z173" s="2" t="s">
        <v>47</v>
      </c>
      <c r="AA173" s="3"/>
      <c r="AB173" s="5"/>
      <c r="AC173" s="5"/>
      <c r="AD173" s="3" t="s">
        <v>1221</v>
      </c>
      <c r="AE173" s="3" t="s">
        <v>1222</v>
      </c>
    </row>
    <row r="174" customFormat="false" ht="60" hidden="false" customHeight="true" outlineLevel="0" collapsed="false">
      <c r="A174" s="2" t="s">
        <v>1223</v>
      </c>
      <c r="B174" s="2" t="n">
        <v>2023</v>
      </c>
      <c r="C174" s="2" t="s">
        <v>32</v>
      </c>
      <c r="D174" s="2" t="s">
        <v>33</v>
      </c>
      <c r="E174" s="2" t="s">
        <v>104</v>
      </c>
      <c r="F174" s="2" t="n">
        <v>3</v>
      </c>
      <c r="G174" s="2" t="s">
        <v>52</v>
      </c>
      <c r="H174" s="2" t="s">
        <v>1199</v>
      </c>
      <c r="I174" s="2" t="n">
        <v>12</v>
      </c>
      <c r="J174" s="2" t="n">
        <v>4</v>
      </c>
      <c r="K174" s="2" t="s">
        <v>813</v>
      </c>
      <c r="L174" s="2"/>
      <c r="M174" s="2" t="s">
        <v>37</v>
      </c>
      <c r="N174" s="2"/>
      <c r="O174" s="3" t="s">
        <v>73</v>
      </c>
      <c r="P174" s="2" t="s">
        <v>151</v>
      </c>
      <c r="Q174" s="2" t="s">
        <v>152</v>
      </c>
      <c r="R174" s="2" t="s">
        <v>950</v>
      </c>
      <c r="S174" s="2" t="s">
        <v>951</v>
      </c>
      <c r="T174" s="3" t="s">
        <v>1224</v>
      </c>
      <c r="U174" s="3"/>
      <c r="V174" s="3" t="s">
        <v>1225</v>
      </c>
      <c r="W174" s="3" t="s">
        <v>1226</v>
      </c>
      <c r="X174" s="2" t="n">
        <v>14</v>
      </c>
      <c r="Y174" s="2" t="n">
        <v>4</v>
      </c>
      <c r="Z174" s="2" t="s">
        <v>47</v>
      </c>
      <c r="AA174" s="3"/>
      <c r="AB174" s="5"/>
      <c r="AC174" s="5"/>
      <c r="AD174" s="3" t="s">
        <v>1227</v>
      </c>
      <c r="AE174" s="3" t="s">
        <v>1228</v>
      </c>
    </row>
    <row r="175" customFormat="false" ht="60" hidden="false" customHeight="true" outlineLevel="0" collapsed="false">
      <c r="A175" s="2" t="s">
        <v>1229</v>
      </c>
      <c r="B175" s="2" t="n">
        <v>2023</v>
      </c>
      <c r="C175" s="2" t="s">
        <v>32</v>
      </c>
      <c r="D175" s="2" t="s">
        <v>33</v>
      </c>
      <c r="E175" s="2" t="s">
        <v>1230</v>
      </c>
      <c r="F175" s="2" t="n">
        <v>4</v>
      </c>
      <c r="G175" s="2" t="s">
        <v>35</v>
      </c>
      <c r="H175" s="2" t="s">
        <v>1231</v>
      </c>
      <c r="I175" s="2" t="n">
        <v>8</v>
      </c>
      <c r="J175" s="2" t="n">
        <v>2</v>
      </c>
      <c r="K175" s="2" t="s">
        <v>64</v>
      </c>
      <c r="L175" s="2" t="s">
        <v>86</v>
      </c>
      <c r="M175" s="2"/>
      <c r="N175" s="2"/>
      <c r="O175" s="3" t="s">
        <v>232</v>
      </c>
      <c r="P175" s="2" t="s">
        <v>1232</v>
      </c>
      <c r="Q175" s="2" t="s">
        <v>1233</v>
      </c>
      <c r="R175" s="2" t="s">
        <v>1234</v>
      </c>
      <c r="S175" s="2" t="s">
        <v>1235</v>
      </c>
      <c r="T175" s="3" t="s">
        <v>1236</v>
      </c>
      <c r="U175" s="3"/>
      <c r="V175" s="3" t="s">
        <v>1237</v>
      </c>
      <c r="W175" s="3" t="s">
        <v>1238</v>
      </c>
      <c r="X175" s="2" t="n">
        <v>15</v>
      </c>
      <c r="Y175" s="2" t="n">
        <v>4</v>
      </c>
      <c r="Z175" s="2" t="s">
        <v>47</v>
      </c>
      <c r="AA175" s="3"/>
      <c r="AB175" s="5"/>
      <c r="AC175" s="5"/>
      <c r="AD175" s="3" t="s">
        <v>1239</v>
      </c>
      <c r="AE175" s="3" t="s">
        <v>1240</v>
      </c>
    </row>
    <row r="176" customFormat="false" ht="60" hidden="false" customHeight="true" outlineLevel="0" collapsed="false">
      <c r="A176" s="2" t="s">
        <v>1241</v>
      </c>
      <c r="B176" s="2" t="n">
        <v>2023</v>
      </c>
      <c r="C176" s="2" t="s">
        <v>32</v>
      </c>
      <c r="D176" s="2" t="s">
        <v>33</v>
      </c>
      <c r="E176" s="2" t="s">
        <v>1230</v>
      </c>
      <c r="F176" s="2" t="n">
        <v>4</v>
      </c>
      <c r="G176" s="2" t="s">
        <v>52</v>
      </c>
      <c r="H176" s="2" t="s">
        <v>1231</v>
      </c>
      <c r="I176" s="2" t="n">
        <v>12</v>
      </c>
      <c r="J176" s="2" t="n">
        <v>4</v>
      </c>
      <c r="K176" s="2" t="s">
        <v>813</v>
      </c>
      <c r="L176" s="2"/>
      <c r="M176" s="2"/>
      <c r="N176" s="2"/>
      <c r="O176" s="3" t="s">
        <v>527</v>
      </c>
      <c r="P176" s="2" t="s">
        <v>594</v>
      </c>
      <c r="Q176" s="2" t="s">
        <v>595</v>
      </c>
      <c r="R176" s="2" t="s">
        <v>1242</v>
      </c>
      <c r="S176" s="2" t="s">
        <v>1243</v>
      </c>
      <c r="T176" s="3" t="s">
        <v>1244</v>
      </c>
      <c r="U176" s="3"/>
      <c r="V176" s="3" t="s">
        <v>1245</v>
      </c>
      <c r="W176" s="3" t="s">
        <v>1246</v>
      </c>
      <c r="X176" s="2" t="n">
        <v>16</v>
      </c>
      <c r="Y176" s="2" t="n">
        <v>4</v>
      </c>
      <c r="Z176" s="2" t="s">
        <v>47</v>
      </c>
      <c r="AA176" s="3"/>
      <c r="AB176" s="5"/>
      <c r="AC176" s="5"/>
      <c r="AD176" s="3" t="s">
        <v>1247</v>
      </c>
      <c r="AE176" s="3" t="s">
        <v>1248</v>
      </c>
    </row>
    <row r="177" customFormat="false" ht="60" hidden="false" customHeight="true" outlineLevel="0" collapsed="false">
      <c r="A177" s="2" t="s">
        <v>1249</v>
      </c>
      <c r="B177" s="2" t="n">
        <v>2023</v>
      </c>
      <c r="C177" s="2" t="s">
        <v>32</v>
      </c>
      <c r="D177" s="2" t="s">
        <v>33</v>
      </c>
      <c r="E177" s="2" t="s">
        <v>1230</v>
      </c>
      <c r="F177" s="2" t="n">
        <v>5</v>
      </c>
      <c r="G177" s="2" t="s">
        <v>35</v>
      </c>
      <c r="H177" s="2" t="s">
        <v>1231</v>
      </c>
      <c r="I177" s="2" t="n">
        <v>8</v>
      </c>
      <c r="J177" s="2" t="n">
        <v>2</v>
      </c>
      <c r="K177" s="2" t="s">
        <v>64</v>
      </c>
      <c r="L177" s="2" t="s">
        <v>86</v>
      </c>
      <c r="M177" s="2" t="s">
        <v>37</v>
      </c>
      <c r="N177" s="2"/>
      <c r="O177" s="3" t="s">
        <v>1250</v>
      </c>
      <c r="P177" s="2" t="s">
        <v>74</v>
      </c>
      <c r="Q177" s="2" t="s">
        <v>75</v>
      </c>
      <c r="R177" s="2" t="s">
        <v>239</v>
      </c>
      <c r="S177" s="2" t="s">
        <v>1251</v>
      </c>
      <c r="T177" s="3" t="s">
        <v>1252</v>
      </c>
      <c r="U177" s="3"/>
      <c r="V177" s="3" t="s">
        <v>1253</v>
      </c>
      <c r="W177" s="3" t="s">
        <v>1254</v>
      </c>
      <c r="X177" s="2" t="n">
        <v>17</v>
      </c>
      <c r="Y177" s="2" t="n">
        <v>4</v>
      </c>
      <c r="Z177" s="2" t="s">
        <v>47</v>
      </c>
      <c r="AA177" s="3"/>
      <c r="AB177" s="5"/>
      <c r="AC177" s="5"/>
      <c r="AD177" s="3" t="s">
        <v>1255</v>
      </c>
      <c r="AE177" s="3" t="s">
        <v>1256</v>
      </c>
    </row>
    <row r="178" customFormat="false" ht="60" hidden="false" customHeight="true" outlineLevel="0" collapsed="false">
      <c r="A178" s="2" t="s">
        <v>1257</v>
      </c>
      <c r="B178" s="2" t="n">
        <v>2023</v>
      </c>
      <c r="C178" s="2" t="s">
        <v>32</v>
      </c>
      <c r="D178" s="2" t="s">
        <v>33</v>
      </c>
      <c r="E178" s="2" t="s">
        <v>1230</v>
      </c>
      <c r="F178" s="2" t="n">
        <v>5</v>
      </c>
      <c r="G178" s="2" t="s">
        <v>52</v>
      </c>
      <c r="H178" s="2" t="s">
        <v>1231</v>
      </c>
      <c r="I178" s="2" t="n">
        <v>12</v>
      </c>
      <c r="J178" s="2" t="n">
        <v>4</v>
      </c>
      <c r="K178" s="2" t="s">
        <v>813</v>
      </c>
      <c r="L178" s="2"/>
      <c r="M178" s="2"/>
      <c r="N178" s="2"/>
      <c r="O178" s="3"/>
      <c r="P178" s="2" t="s">
        <v>466</v>
      </c>
      <c r="Q178" s="2" t="s">
        <v>467</v>
      </c>
      <c r="R178" s="2" t="s">
        <v>1258</v>
      </c>
      <c r="S178" s="2" t="s">
        <v>1259</v>
      </c>
      <c r="T178" s="3" t="s">
        <v>1260</v>
      </c>
      <c r="U178" s="3"/>
      <c r="V178" s="3" t="s">
        <v>1261</v>
      </c>
      <c r="W178" s="3" t="s">
        <v>1262</v>
      </c>
      <c r="X178" s="2" t="n">
        <v>18</v>
      </c>
      <c r="Y178" s="2" t="n">
        <v>4</v>
      </c>
      <c r="Z178" s="2" t="s">
        <v>47</v>
      </c>
      <c r="AA178" s="3"/>
      <c r="AB178" s="5"/>
      <c r="AC178" s="5"/>
      <c r="AD178" s="3" t="s">
        <v>1263</v>
      </c>
      <c r="AE178" s="3" t="s">
        <v>1264</v>
      </c>
    </row>
    <row r="179" customFormat="false" ht="60" hidden="false" customHeight="true" outlineLevel="0" collapsed="false">
      <c r="A179" s="2" t="s">
        <v>1265</v>
      </c>
      <c r="B179" s="2" t="n">
        <v>2023</v>
      </c>
      <c r="C179" s="2" t="s">
        <v>160</v>
      </c>
      <c r="D179" s="2" t="s">
        <v>161</v>
      </c>
      <c r="E179" s="2" t="s">
        <v>34</v>
      </c>
      <c r="F179" s="2" t="n">
        <v>1</v>
      </c>
      <c r="G179" s="2" t="s">
        <v>35</v>
      </c>
      <c r="H179" s="2"/>
      <c r="I179" s="2" t="n">
        <v>2</v>
      </c>
      <c r="J179" s="2" t="n">
        <v>0</v>
      </c>
      <c r="K179" s="2" t="s">
        <v>36</v>
      </c>
      <c r="L179" s="2"/>
      <c r="M179" s="2"/>
      <c r="N179" s="2" t="s">
        <v>37</v>
      </c>
      <c r="O179" s="3" t="s">
        <v>38</v>
      </c>
      <c r="P179" s="2" t="s">
        <v>1266</v>
      </c>
      <c r="Q179" s="2" t="s">
        <v>1267</v>
      </c>
      <c r="R179" s="2" t="s">
        <v>1268</v>
      </c>
      <c r="S179" s="2" t="s">
        <v>1269</v>
      </c>
      <c r="T179" s="3" t="s">
        <v>1270</v>
      </c>
      <c r="U179" s="3" t="s">
        <v>1271</v>
      </c>
      <c r="V179" s="3" t="s">
        <v>1272</v>
      </c>
      <c r="W179" s="3" t="s">
        <v>1273</v>
      </c>
      <c r="X179" s="2" t="n">
        <v>7</v>
      </c>
      <c r="Y179" s="2" t="n">
        <v>3</v>
      </c>
      <c r="Z179" s="2" t="s">
        <v>47</v>
      </c>
      <c r="AA179" s="3"/>
      <c r="AB179" s="5"/>
      <c r="AC179" s="5"/>
      <c r="AD179" s="3" t="s">
        <v>1274</v>
      </c>
      <c r="AE179" s="3" t="s">
        <v>1275</v>
      </c>
    </row>
    <row r="180" customFormat="false" ht="60" hidden="false" customHeight="true" outlineLevel="0" collapsed="false">
      <c r="A180" s="2" t="s">
        <v>1276</v>
      </c>
      <c r="B180" s="2" t="n">
        <v>2023</v>
      </c>
      <c r="C180" s="2" t="s">
        <v>160</v>
      </c>
      <c r="D180" s="2" t="s">
        <v>161</v>
      </c>
      <c r="E180" s="2" t="s">
        <v>34</v>
      </c>
      <c r="F180" s="2" t="n">
        <v>1</v>
      </c>
      <c r="G180" s="2" t="s">
        <v>52</v>
      </c>
      <c r="H180" s="2"/>
      <c r="I180" s="2" t="n">
        <v>2</v>
      </c>
      <c r="J180" s="2" t="n">
        <v>0</v>
      </c>
      <c r="K180" s="2" t="s">
        <v>64</v>
      </c>
      <c r="L180" s="2"/>
      <c r="M180" s="2"/>
      <c r="N180" s="2"/>
      <c r="O180" s="3"/>
      <c r="P180" s="2" t="s">
        <v>1266</v>
      </c>
      <c r="Q180" s="2" t="s">
        <v>1267</v>
      </c>
      <c r="R180" s="2" t="s">
        <v>1268</v>
      </c>
      <c r="S180" s="2" t="s">
        <v>1277</v>
      </c>
      <c r="T180" s="3" t="s">
        <v>1278</v>
      </c>
      <c r="U180" s="3" t="s">
        <v>1271</v>
      </c>
      <c r="V180" s="3" t="s">
        <v>1279</v>
      </c>
      <c r="W180" s="3" t="s">
        <v>1280</v>
      </c>
      <c r="X180" s="2" t="n">
        <v>7</v>
      </c>
      <c r="Y180" s="2" t="n">
        <v>3</v>
      </c>
      <c r="Z180" s="2" t="s">
        <v>47</v>
      </c>
      <c r="AA180" s="3"/>
      <c r="AB180" s="5"/>
      <c r="AC180" s="5"/>
      <c r="AD180" s="3"/>
      <c r="AE180" s="3" t="s">
        <v>1281</v>
      </c>
    </row>
    <row r="181" customFormat="false" ht="60" hidden="false" customHeight="true" outlineLevel="0" collapsed="false">
      <c r="A181" s="2" t="s">
        <v>1282</v>
      </c>
      <c r="B181" s="2" t="n">
        <v>2023</v>
      </c>
      <c r="C181" s="2" t="s">
        <v>160</v>
      </c>
      <c r="D181" s="2" t="s">
        <v>161</v>
      </c>
      <c r="E181" s="2" t="s">
        <v>34</v>
      </c>
      <c r="F181" s="2" t="n">
        <v>1</v>
      </c>
      <c r="G181" s="2" t="s">
        <v>63</v>
      </c>
      <c r="H181" s="2"/>
      <c r="I181" s="2" t="n">
        <v>4</v>
      </c>
      <c r="J181" s="2" t="n">
        <v>1</v>
      </c>
      <c r="K181" s="2" t="s">
        <v>86</v>
      </c>
      <c r="L181" s="2"/>
      <c r="M181" s="2"/>
      <c r="N181" s="2"/>
      <c r="O181" s="3" t="s">
        <v>232</v>
      </c>
      <c r="P181" s="2" t="s">
        <v>1266</v>
      </c>
      <c r="Q181" s="2" t="s">
        <v>1267</v>
      </c>
      <c r="R181" s="2" t="s">
        <v>1268</v>
      </c>
      <c r="S181" s="2" t="s">
        <v>1269</v>
      </c>
      <c r="T181" s="3" t="s">
        <v>1283</v>
      </c>
      <c r="U181" s="3" t="s">
        <v>1271</v>
      </c>
      <c r="V181" s="3" t="s">
        <v>1284</v>
      </c>
      <c r="W181" s="3" t="s">
        <v>1285</v>
      </c>
      <c r="X181" s="2" t="n">
        <v>8</v>
      </c>
      <c r="Y181" s="2" t="n">
        <v>3</v>
      </c>
      <c r="Z181" s="2" t="s">
        <v>47</v>
      </c>
      <c r="AA181" s="3"/>
      <c r="AB181" s="5"/>
      <c r="AC181" s="5"/>
      <c r="AD181" s="3" t="s">
        <v>1286</v>
      </c>
      <c r="AE181" s="3" t="s">
        <v>1287</v>
      </c>
    </row>
    <row r="182" customFormat="false" ht="60" hidden="false" customHeight="true" outlineLevel="0" collapsed="false">
      <c r="A182" s="2" t="s">
        <v>1288</v>
      </c>
      <c r="B182" s="2" t="n">
        <v>2023</v>
      </c>
      <c r="C182" s="2" t="s">
        <v>160</v>
      </c>
      <c r="D182" s="2" t="s">
        <v>161</v>
      </c>
      <c r="E182" s="2" t="s">
        <v>34</v>
      </c>
      <c r="F182" s="2" t="n">
        <v>1</v>
      </c>
      <c r="G182" s="2" t="s">
        <v>72</v>
      </c>
      <c r="H182" s="2"/>
      <c r="I182" s="2" t="n">
        <v>6</v>
      </c>
      <c r="J182" s="2" t="n">
        <v>2</v>
      </c>
      <c r="K182" s="2" t="s">
        <v>813</v>
      </c>
      <c r="L182" s="2"/>
      <c r="M182" s="2"/>
      <c r="N182" s="2"/>
      <c r="O182" s="3"/>
      <c r="P182" s="2" t="s">
        <v>1266</v>
      </c>
      <c r="Q182" s="2" t="s">
        <v>1267</v>
      </c>
      <c r="R182" s="2" t="s">
        <v>1268</v>
      </c>
      <c r="S182" s="2" t="s">
        <v>1289</v>
      </c>
      <c r="T182" s="3" t="s">
        <v>1290</v>
      </c>
      <c r="U182" s="3" t="s">
        <v>1271</v>
      </c>
      <c r="V182" s="3" t="s">
        <v>1291</v>
      </c>
      <c r="W182" s="3" t="s">
        <v>1292</v>
      </c>
      <c r="X182" s="2" t="n">
        <v>9</v>
      </c>
      <c r="Y182" s="2" t="n">
        <v>3</v>
      </c>
      <c r="Z182" s="2" t="s">
        <v>47</v>
      </c>
      <c r="AA182" s="3"/>
      <c r="AB182" s="5"/>
      <c r="AC182" s="5"/>
      <c r="AD182" s="3" t="s">
        <v>1293</v>
      </c>
      <c r="AE182" s="3" t="s">
        <v>1294</v>
      </c>
    </row>
    <row r="183" customFormat="false" ht="60" hidden="false" customHeight="true" outlineLevel="0" collapsed="false">
      <c r="A183" s="2" t="s">
        <v>1295</v>
      </c>
      <c r="B183" s="2" t="n">
        <v>2023</v>
      </c>
      <c r="C183" s="2" t="s">
        <v>160</v>
      </c>
      <c r="D183" s="2" t="s">
        <v>161</v>
      </c>
      <c r="E183" s="2" t="s">
        <v>34</v>
      </c>
      <c r="F183" s="2" t="n">
        <v>1</v>
      </c>
      <c r="G183" s="2" t="s">
        <v>84</v>
      </c>
      <c r="H183" s="2"/>
      <c r="I183" s="2" t="n">
        <v>6</v>
      </c>
      <c r="J183" s="2" t="n">
        <v>2</v>
      </c>
      <c r="K183" s="2" t="s">
        <v>813</v>
      </c>
      <c r="L183" s="2"/>
      <c r="M183" s="2"/>
      <c r="N183" s="2"/>
      <c r="O183" s="3"/>
      <c r="P183" s="2" t="s">
        <v>115</v>
      </c>
      <c r="Q183" s="2" t="s">
        <v>116</v>
      </c>
      <c r="R183" s="2" t="s">
        <v>1296</v>
      </c>
      <c r="S183" s="2" t="s">
        <v>1297</v>
      </c>
      <c r="T183" s="3" t="s">
        <v>1298</v>
      </c>
      <c r="U183" s="3" t="s">
        <v>1271</v>
      </c>
      <c r="V183" s="3" t="s">
        <v>1299</v>
      </c>
      <c r="W183" s="3" t="s">
        <v>1300</v>
      </c>
      <c r="X183" s="2" t="n">
        <v>10</v>
      </c>
      <c r="Y183" s="2" t="n">
        <v>3</v>
      </c>
      <c r="Z183" s="2" t="s">
        <v>47</v>
      </c>
      <c r="AA183" s="3"/>
      <c r="AB183" s="5"/>
      <c r="AC183" s="5"/>
      <c r="AD183" s="3"/>
      <c r="AE183" s="3" t="s">
        <v>1301</v>
      </c>
    </row>
    <row r="184" customFormat="false" ht="60" hidden="false" customHeight="true" outlineLevel="0" collapsed="false">
      <c r="A184" s="2" t="s">
        <v>1302</v>
      </c>
      <c r="B184" s="2" t="n">
        <v>2023</v>
      </c>
      <c r="C184" s="2" t="s">
        <v>160</v>
      </c>
      <c r="D184" s="2" t="s">
        <v>161</v>
      </c>
      <c r="E184" s="2" t="s">
        <v>104</v>
      </c>
      <c r="F184" s="2" t="n">
        <v>2</v>
      </c>
      <c r="G184" s="2" t="s">
        <v>35</v>
      </c>
      <c r="H184" s="2" t="s">
        <v>1199</v>
      </c>
      <c r="I184" s="2" t="n">
        <v>8</v>
      </c>
      <c r="J184" s="2" t="n">
        <v>2</v>
      </c>
      <c r="K184" s="2" t="s">
        <v>64</v>
      </c>
      <c r="L184" s="2" t="s">
        <v>86</v>
      </c>
      <c r="M184" s="2" t="s">
        <v>37</v>
      </c>
      <c r="N184" s="2"/>
      <c r="O184" s="3" t="s">
        <v>73</v>
      </c>
      <c r="P184" s="2" t="s">
        <v>106</v>
      </c>
      <c r="Q184" s="2" t="s">
        <v>107</v>
      </c>
      <c r="R184" s="2" t="s">
        <v>425</v>
      </c>
      <c r="S184" s="2" t="s">
        <v>426</v>
      </c>
      <c r="T184" s="3" t="s">
        <v>1303</v>
      </c>
      <c r="U184" s="3"/>
      <c r="V184" s="3" t="s">
        <v>1304</v>
      </c>
      <c r="W184" s="3" t="s">
        <v>1305</v>
      </c>
      <c r="X184" s="2" t="n">
        <v>11</v>
      </c>
      <c r="Y184" s="2" t="n">
        <v>3</v>
      </c>
      <c r="Z184" s="2" t="s">
        <v>47</v>
      </c>
      <c r="AA184" s="3"/>
      <c r="AB184" s="5"/>
      <c r="AC184" s="5"/>
      <c r="AD184" s="3" t="s">
        <v>1306</v>
      </c>
      <c r="AE184" s="3" t="s">
        <v>1307</v>
      </c>
    </row>
    <row r="185" customFormat="false" ht="60" hidden="false" customHeight="true" outlineLevel="0" collapsed="false">
      <c r="A185" s="2" t="s">
        <v>1308</v>
      </c>
      <c r="B185" s="2" t="n">
        <v>2023</v>
      </c>
      <c r="C185" s="2" t="s">
        <v>160</v>
      </c>
      <c r="D185" s="2" t="s">
        <v>161</v>
      </c>
      <c r="E185" s="2" t="s">
        <v>104</v>
      </c>
      <c r="F185" s="2" t="n">
        <v>2</v>
      </c>
      <c r="G185" s="2" t="s">
        <v>52</v>
      </c>
      <c r="H185" s="2" t="s">
        <v>1199</v>
      </c>
      <c r="I185" s="2" t="n">
        <v>12</v>
      </c>
      <c r="J185" s="2" t="n">
        <v>4</v>
      </c>
      <c r="K185" s="2" t="s">
        <v>813</v>
      </c>
      <c r="L185" s="2"/>
      <c r="M185" s="2"/>
      <c r="N185" s="2"/>
      <c r="O185" s="3"/>
      <c r="P185" s="2" t="s">
        <v>209</v>
      </c>
      <c r="Q185" s="2" t="s">
        <v>210</v>
      </c>
      <c r="R185" s="2" t="s">
        <v>340</v>
      </c>
      <c r="S185" s="2" t="s">
        <v>755</v>
      </c>
      <c r="T185" s="3" t="s">
        <v>1309</v>
      </c>
      <c r="U185" s="3"/>
      <c r="V185" s="3" t="s">
        <v>1310</v>
      </c>
      <c r="W185" s="3" t="s">
        <v>1311</v>
      </c>
      <c r="X185" s="2" t="n">
        <v>12</v>
      </c>
      <c r="Y185" s="2" t="n">
        <v>3</v>
      </c>
      <c r="Z185" s="2" t="s">
        <v>47</v>
      </c>
      <c r="AA185" s="3"/>
      <c r="AB185" s="5"/>
      <c r="AC185" s="5"/>
      <c r="AD185" s="3" t="s">
        <v>1312</v>
      </c>
      <c r="AE185" s="3" t="s">
        <v>1313</v>
      </c>
    </row>
    <row r="186" customFormat="false" ht="60" hidden="false" customHeight="true" outlineLevel="0" collapsed="false">
      <c r="A186" s="2" t="s">
        <v>1314</v>
      </c>
      <c r="B186" s="2" t="n">
        <v>2023</v>
      </c>
      <c r="C186" s="2" t="s">
        <v>160</v>
      </c>
      <c r="D186" s="2" t="s">
        <v>161</v>
      </c>
      <c r="E186" s="2" t="s">
        <v>104</v>
      </c>
      <c r="F186" s="2" t="n">
        <v>3</v>
      </c>
      <c r="G186" s="2" t="s">
        <v>35</v>
      </c>
      <c r="H186" s="2" t="s">
        <v>1199</v>
      </c>
      <c r="I186" s="2" t="n">
        <v>8</v>
      </c>
      <c r="J186" s="2" t="n">
        <v>2</v>
      </c>
      <c r="K186" s="2" t="s">
        <v>64</v>
      </c>
      <c r="L186" s="2" t="s">
        <v>86</v>
      </c>
      <c r="M186" s="2"/>
      <c r="N186" s="2"/>
      <c r="O186" s="3"/>
      <c r="P186" s="2" t="s">
        <v>124</v>
      </c>
      <c r="Q186" s="2" t="s">
        <v>125</v>
      </c>
      <c r="R186" s="2" t="s">
        <v>126</v>
      </c>
      <c r="S186" s="2" t="s">
        <v>1315</v>
      </c>
      <c r="T186" s="3" t="s">
        <v>1316</v>
      </c>
      <c r="U186" s="3"/>
      <c r="V186" s="3" t="s">
        <v>1317</v>
      </c>
      <c r="W186" s="3" t="s">
        <v>1318</v>
      </c>
      <c r="X186" s="2" t="n">
        <v>13</v>
      </c>
      <c r="Y186" s="2" t="n">
        <v>3</v>
      </c>
      <c r="Z186" s="2" t="s">
        <v>47</v>
      </c>
      <c r="AA186" s="3"/>
      <c r="AB186" s="5"/>
      <c r="AC186" s="5"/>
      <c r="AD186" s="3" t="s">
        <v>1319</v>
      </c>
      <c r="AE186" s="3" t="s">
        <v>1320</v>
      </c>
    </row>
    <row r="187" customFormat="false" ht="60" hidden="false" customHeight="true" outlineLevel="0" collapsed="false">
      <c r="A187" s="2" t="s">
        <v>1321</v>
      </c>
      <c r="B187" s="2" t="n">
        <v>2023</v>
      </c>
      <c r="C187" s="2" t="s">
        <v>160</v>
      </c>
      <c r="D187" s="2" t="s">
        <v>161</v>
      </c>
      <c r="E187" s="2" t="s">
        <v>104</v>
      </c>
      <c r="F187" s="2" t="n">
        <v>3</v>
      </c>
      <c r="G187" s="2" t="s">
        <v>52</v>
      </c>
      <c r="H187" s="2" t="s">
        <v>1199</v>
      </c>
      <c r="I187" s="2" t="n">
        <v>12</v>
      </c>
      <c r="J187" s="2" t="n">
        <v>4</v>
      </c>
      <c r="K187" s="2" t="s">
        <v>813</v>
      </c>
      <c r="L187" s="2"/>
      <c r="M187" s="2" t="s">
        <v>37</v>
      </c>
      <c r="N187" s="2"/>
      <c r="O187" s="3" t="s">
        <v>1322</v>
      </c>
      <c r="P187" s="2" t="s">
        <v>151</v>
      </c>
      <c r="Q187" s="2" t="s">
        <v>152</v>
      </c>
      <c r="R187" s="2" t="s">
        <v>950</v>
      </c>
      <c r="S187" s="2" t="s">
        <v>1323</v>
      </c>
      <c r="T187" s="3" t="s">
        <v>1324</v>
      </c>
      <c r="U187" s="3"/>
      <c r="V187" s="3" t="s">
        <v>1325</v>
      </c>
      <c r="W187" s="3" t="s">
        <v>1326</v>
      </c>
      <c r="X187" s="2" t="n">
        <v>14</v>
      </c>
      <c r="Y187" s="2" t="n">
        <v>3</v>
      </c>
      <c r="Z187" s="2" t="s">
        <v>47</v>
      </c>
      <c r="AA187" s="3"/>
      <c r="AB187" s="5"/>
      <c r="AC187" s="5"/>
      <c r="AD187" s="3"/>
      <c r="AE187" s="3" t="s">
        <v>1327</v>
      </c>
    </row>
    <row r="188" customFormat="false" ht="60" hidden="false" customHeight="true" outlineLevel="0" collapsed="false">
      <c r="A188" s="2" t="s">
        <v>1328</v>
      </c>
      <c r="B188" s="2" t="n">
        <v>2023</v>
      </c>
      <c r="C188" s="2" t="s">
        <v>160</v>
      </c>
      <c r="D188" s="2" t="s">
        <v>161</v>
      </c>
      <c r="E188" s="2" t="s">
        <v>1230</v>
      </c>
      <c r="F188" s="2" t="n">
        <v>4</v>
      </c>
      <c r="G188" s="2" t="s">
        <v>35</v>
      </c>
      <c r="H188" s="2" t="s">
        <v>1231</v>
      </c>
      <c r="I188" s="2" t="n">
        <v>8</v>
      </c>
      <c r="J188" s="2" t="n">
        <v>2</v>
      </c>
      <c r="K188" s="2" t="s">
        <v>64</v>
      </c>
      <c r="L188" s="2" t="s">
        <v>86</v>
      </c>
      <c r="M188" s="2" t="s">
        <v>37</v>
      </c>
      <c r="N188" s="2"/>
      <c r="O188" s="3" t="s">
        <v>676</v>
      </c>
      <c r="P188" s="2" t="s">
        <v>39</v>
      </c>
      <c r="Q188" s="2" t="s">
        <v>40</v>
      </c>
      <c r="R188" s="2" t="s">
        <v>301</v>
      </c>
      <c r="S188" s="2" t="s">
        <v>741</v>
      </c>
      <c r="T188" s="3" t="s">
        <v>1329</v>
      </c>
      <c r="U188" s="3"/>
      <c r="V188" s="3" t="s">
        <v>1330</v>
      </c>
      <c r="W188" s="3" t="s">
        <v>1331</v>
      </c>
      <c r="X188" s="2" t="n">
        <v>15</v>
      </c>
      <c r="Y188" s="2" t="n">
        <v>4</v>
      </c>
      <c r="Z188" s="2" t="s">
        <v>47</v>
      </c>
      <c r="AA188" s="3"/>
      <c r="AB188" s="5"/>
      <c r="AC188" s="5"/>
      <c r="AD188" s="3" t="s">
        <v>1332</v>
      </c>
      <c r="AE188" s="3" t="s">
        <v>1333</v>
      </c>
    </row>
    <row r="189" customFormat="false" ht="60" hidden="false" customHeight="true" outlineLevel="0" collapsed="false">
      <c r="A189" s="2" t="s">
        <v>1334</v>
      </c>
      <c r="B189" s="2" t="n">
        <v>2023</v>
      </c>
      <c r="C189" s="2" t="s">
        <v>160</v>
      </c>
      <c r="D189" s="2" t="s">
        <v>161</v>
      </c>
      <c r="E189" s="2" t="s">
        <v>1230</v>
      </c>
      <c r="F189" s="2" t="n">
        <v>4</v>
      </c>
      <c r="G189" s="2" t="s">
        <v>52</v>
      </c>
      <c r="H189" s="2" t="s">
        <v>1231</v>
      </c>
      <c r="I189" s="2" t="n">
        <v>12</v>
      </c>
      <c r="J189" s="2" t="n">
        <v>4</v>
      </c>
      <c r="K189" s="2" t="s">
        <v>813</v>
      </c>
      <c r="L189" s="2"/>
      <c r="M189" s="2"/>
      <c r="N189" s="2"/>
      <c r="O189" s="3" t="s">
        <v>308</v>
      </c>
      <c r="P189" s="2" t="s">
        <v>87</v>
      </c>
      <c r="Q189" s="2" t="s">
        <v>88</v>
      </c>
      <c r="R189" s="2" t="s">
        <v>1335</v>
      </c>
      <c r="S189" s="2" t="s">
        <v>1336</v>
      </c>
      <c r="T189" s="3" t="s">
        <v>1337</v>
      </c>
      <c r="U189" s="3"/>
      <c r="V189" s="3" t="s">
        <v>1338</v>
      </c>
      <c r="W189" s="3" t="s">
        <v>1339</v>
      </c>
      <c r="X189" s="2" t="n">
        <v>16</v>
      </c>
      <c r="Y189" s="2" t="n">
        <v>4</v>
      </c>
      <c r="Z189" s="2" t="s">
        <v>47</v>
      </c>
      <c r="AA189" s="3"/>
      <c r="AB189" s="5"/>
      <c r="AC189" s="5"/>
      <c r="AD189" s="3" t="s">
        <v>1340</v>
      </c>
      <c r="AE189" s="3" t="s">
        <v>1341</v>
      </c>
    </row>
    <row r="190" customFormat="false" ht="60" hidden="false" customHeight="true" outlineLevel="0" collapsed="false">
      <c r="A190" s="2" t="s">
        <v>1342</v>
      </c>
      <c r="B190" s="2" t="n">
        <v>2023</v>
      </c>
      <c r="C190" s="2" t="s">
        <v>160</v>
      </c>
      <c r="D190" s="2" t="s">
        <v>161</v>
      </c>
      <c r="E190" s="2" t="s">
        <v>1230</v>
      </c>
      <c r="F190" s="2" t="n">
        <v>5</v>
      </c>
      <c r="G190" s="2" t="s">
        <v>35</v>
      </c>
      <c r="H190" s="2" t="s">
        <v>1231</v>
      </c>
      <c r="I190" s="2" t="n">
        <v>8</v>
      </c>
      <c r="J190" s="2" t="n">
        <v>2</v>
      </c>
      <c r="K190" s="2" t="s">
        <v>64</v>
      </c>
      <c r="L190" s="2" t="s">
        <v>86</v>
      </c>
      <c r="M190" s="2" t="s">
        <v>37</v>
      </c>
      <c r="N190" s="2"/>
      <c r="O190" s="3" t="s">
        <v>1250</v>
      </c>
      <c r="P190" s="2" t="s">
        <v>74</v>
      </c>
      <c r="Q190" s="2" t="s">
        <v>75</v>
      </c>
      <c r="R190" s="2" t="s">
        <v>239</v>
      </c>
      <c r="S190" s="2" t="s">
        <v>1343</v>
      </c>
      <c r="T190" s="3" t="s">
        <v>240</v>
      </c>
      <c r="U190" s="3"/>
      <c r="V190" s="3" t="s">
        <v>1344</v>
      </c>
      <c r="W190" s="3" t="s">
        <v>1345</v>
      </c>
      <c r="X190" s="2" t="n">
        <v>17</v>
      </c>
      <c r="Y190" s="2" t="n">
        <v>4</v>
      </c>
      <c r="Z190" s="2" t="s">
        <v>47</v>
      </c>
      <c r="AA190" s="3"/>
      <c r="AB190" s="5"/>
      <c r="AC190" s="5"/>
      <c r="AD190" s="3" t="s">
        <v>1346</v>
      </c>
      <c r="AE190" s="3" t="s">
        <v>1347</v>
      </c>
    </row>
    <row r="191" customFormat="false" ht="60" hidden="false" customHeight="true" outlineLevel="0" collapsed="false">
      <c r="A191" s="2" t="s">
        <v>1348</v>
      </c>
      <c r="B191" s="2" t="n">
        <v>2023</v>
      </c>
      <c r="C191" s="2" t="s">
        <v>160</v>
      </c>
      <c r="D191" s="2" t="s">
        <v>161</v>
      </c>
      <c r="E191" s="2" t="s">
        <v>1230</v>
      </c>
      <c r="F191" s="2" t="n">
        <v>5</v>
      </c>
      <c r="G191" s="2" t="s">
        <v>52</v>
      </c>
      <c r="H191" s="2" t="s">
        <v>1231</v>
      </c>
      <c r="I191" s="2" t="n">
        <v>12</v>
      </c>
      <c r="J191" s="2" t="n">
        <v>4</v>
      </c>
      <c r="K191" s="2" t="s">
        <v>813</v>
      </c>
      <c r="L191" s="2"/>
      <c r="M191" s="2"/>
      <c r="N191" s="2"/>
      <c r="O191" s="3" t="s">
        <v>748</v>
      </c>
      <c r="P191" s="2" t="s">
        <v>133</v>
      </c>
      <c r="Q191" s="2" t="s">
        <v>134</v>
      </c>
      <c r="R191" s="2" t="s">
        <v>274</v>
      </c>
      <c r="S191" s="2" t="s">
        <v>275</v>
      </c>
      <c r="T191" s="3" t="s">
        <v>1349</v>
      </c>
      <c r="U191" s="3"/>
      <c r="V191" s="3" t="s">
        <v>1350</v>
      </c>
      <c r="W191" s="3" t="s">
        <v>1351</v>
      </c>
      <c r="X191" s="2" t="n">
        <v>18</v>
      </c>
      <c r="Y191" s="2" t="n">
        <v>4</v>
      </c>
      <c r="Z191" s="2" t="s">
        <v>47</v>
      </c>
      <c r="AA191" s="3"/>
      <c r="AB191" s="5"/>
      <c r="AC191" s="5"/>
      <c r="AD191" s="3"/>
      <c r="AE191" s="3" t="s">
        <v>1352</v>
      </c>
    </row>
    <row r="192" customFormat="false" ht="60" hidden="false" customHeight="true" outlineLevel="0" collapsed="false">
      <c r="A192" s="2" t="s">
        <v>1353</v>
      </c>
      <c r="B192" s="2" t="n">
        <v>2023</v>
      </c>
      <c r="C192" s="2" t="s">
        <v>160</v>
      </c>
      <c r="D192" s="2" t="s">
        <v>33</v>
      </c>
      <c r="E192" s="2" t="s">
        <v>34</v>
      </c>
      <c r="F192" s="2" t="n">
        <v>1</v>
      </c>
      <c r="G192" s="2" t="s">
        <v>35</v>
      </c>
      <c r="H192" s="2"/>
      <c r="I192" s="2" t="n">
        <v>2</v>
      </c>
      <c r="J192" s="2" t="n">
        <v>0</v>
      </c>
      <c r="K192" s="2" t="s">
        <v>252</v>
      </c>
      <c r="L192" s="2"/>
      <c r="M192" s="2"/>
      <c r="N192" s="2"/>
      <c r="O192" s="3"/>
      <c r="P192" s="2" t="s">
        <v>54</v>
      </c>
      <c r="Q192" s="2" t="s">
        <v>55</v>
      </c>
      <c r="R192" s="2" t="s">
        <v>56</v>
      </c>
      <c r="S192" s="2" t="s">
        <v>1354</v>
      </c>
      <c r="T192" s="3" t="s">
        <v>1355</v>
      </c>
      <c r="U192" s="3" t="s">
        <v>1356</v>
      </c>
      <c r="V192" s="3" t="s">
        <v>1357</v>
      </c>
      <c r="W192" s="3" t="s">
        <v>1358</v>
      </c>
      <c r="X192" s="2" t="n">
        <v>7</v>
      </c>
      <c r="Y192" s="2" t="n">
        <v>3</v>
      </c>
      <c r="Z192" s="2" t="s">
        <v>47</v>
      </c>
      <c r="AA192" s="3"/>
      <c r="AB192" s="5"/>
      <c r="AC192" s="5"/>
      <c r="AD192" s="3"/>
      <c r="AE192" s="3" t="s">
        <v>1359</v>
      </c>
    </row>
    <row r="193" customFormat="false" ht="60" hidden="false" customHeight="true" outlineLevel="0" collapsed="false">
      <c r="A193" s="2" t="s">
        <v>1360</v>
      </c>
      <c r="B193" s="2" t="n">
        <v>2023</v>
      </c>
      <c r="C193" s="2" t="s">
        <v>160</v>
      </c>
      <c r="D193" s="2" t="s">
        <v>33</v>
      </c>
      <c r="E193" s="2" t="s">
        <v>34</v>
      </c>
      <c r="F193" s="2" t="n">
        <v>1</v>
      </c>
      <c r="G193" s="2" t="s">
        <v>52</v>
      </c>
      <c r="H193" s="2"/>
      <c r="I193" s="2" t="n">
        <v>2</v>
      </c>
      <c r="J193" s="2" t="n">
        <v>0</v>
      </c>
      <c r="K193" s="2" t="s">
        <v>1361</v>
      </c>
      <c r="L193" s="2"/>
      <c r="M193" s="2" t="s">
        <v>37</v>
      </c>
      <c r="N193" s="2"/>
      <c r="O193" s="3" t="s">
        <v>73</v>
      </c>
      <c r="P193" s="2" t="s">
        <v>106</v>
      </c>
      <c r="Q193" s="2" t="s">
        <v>107</v>
      </c>
      <c r="R193" s="2" t="s">
        <v>1362</v>
      </c>
      <c r="S193" s="2" t="s">
        <v>1363</v>
      </c>
      <c r="T193" s="3" t="s">
        <v>1364</v>
      </c>
      <c r="U193" s="3" t="s">
        <v>1356</v>
      </c>
      <c r="V193" s="3" t="s">
        <v>1365</v>
      </c>
      <c r="W193" s="3" t="s">
        <v>1366</v>
      </c>
      <c r="X193" s="2" t="n">
        <v>7</v>
      </c>
      <c r="Y193" s="2" t="n">
        <v>3</v>
      </c>
      <c r="Z193" s="2" t="s">
        <v>47</v>
      </c>
      <c r="AA193" s="3"/>
      <c r="AB193" s="5"/>
      <c r="AC193" s="5"/>
      <c r="AD193" s="3"/>
      <c r="AE193" s="3" t="s">
        <v>1367</v>
      </c>
    </row>
    <row r="194" customFormat="false" ht="60" hidden="false" customHeight="true" outlineLevel="0" collapsed="false">
      <c r="A194" s="2" t="s">
        <v>1368</v>
      </c>
      <c r="B194" s="2" t="n">
        <v>2023</v>
      </c>
      <c r="C194" s="2" t="s">
        <v>160</v>
      </c>
      <c r="D194" s="2" t="s">
        <v>33</v>
      </c>
      <c r="E194" s="2" t="s">
        <v>34</v>
      </c>
      <c r="F194" s="2" t="n">
        <v>1</v>
      </c>
      <c r="G194" s="2" t="s">
        <v>63</v>
      </c>
      <c r="H194" s="2"/>
      <c r="I194" s="2" t="n">
        <v>4</v>
      </c>
      <c r="J194" s="2" t="n">
        <v>1</v>
      </c>
      <c r="K194" s="2" t="s">
        <v>86</v>
      </c>
      <c r="L194" s="2"/>
      <c r="M194" s="2"/>
      <c r="N194" s="2"/>
      <c r="O194" s="3" t="s">
        <v>232</v>
      </c>
      <c r="P194" s="2" t="s">
        <v>39</v>
      </c>
      <c r="Q194" s="2" t="s">
        <v>40</v>
      </c>
      <c r="R194" s="2" t="s">
        <v>1369</v>
      </c>
      <c r="S194" s="2" t="s">
        <v>1370</v>
      </c>
      <c r="T194" s="3" t="s">
        <v>1371</v>
      </c>
      <c r="U194" s="3" t="s">
        <v>1356</v>
      </c>
      <c r="V194" s="3" t="s">
        <v>1372</v>
      </c>
      <c r="W194" s="3" t="s">
        <v>1373</v>
      </c>
      <c r="X194" s="2" t="n">
        <v>7</v>
      </c>
      <c r="Y194" s="2" t="n">
        <v>3</v>
      </c>
      <c r="Z194" s="2" t="s">
        <v>47</v>
      </c>
      <c r="AA194" s="3"/>
      <c r="AB194" s="5"/>
      <c r="AC194" s="5"/>
      <c r="AD194" s="3" t="s">
        <v>1374</v>
      </c>
      <c r="AE194" s="3" t="s">
        <v>1375</v>
      </c>
    </row>
    <row r="195" customFormat="false" ht="60" hidden="false" customHeight="true" outlineLevel="0" collapsed="false">
      <c r="A195" s="2" t="s">
        <v>1376</v>
      </c>
      <c r="B195" s="2" t="n">
        <v>2023</v>
      </c>
      <c r="C195" s="2" t="s">
        <v>160</v>
      </c>
      <c r="D195" s="2" t="s">
        <v>33</v>
      </c>
      <c r="E195" s="2" t="s">
        <v>34</v>
      </c>
      <c r="F195" s="2" t="n">
        <v>1</v>
      </c>
      <c r="G195" s="2" t="s">
        <v>72</v>
      </c>
      <c r="H195" s="2"/>
      <c r="I195" s="2" t="n">
        <v>6</v>
      </c>
      <c r="J195" s="2" t="n">
        <v>2</v>
      </c>
      <c r="K195" s="2" t="s">
        <v>813</v>
      </c>
      <c r="L195" s="2"/>
      <c r="M195" s="2"/>
      <c r="N195" s="2"/>
      <c r="O195" s="3" t="s">
        <v>308</v>
      </c>
      <c r="P195" s="2" t="s">
        <v>115</v>
      </c>
      <c r="Q195" s="2" t="s">
        <v>116</v>
      </c>
      <c r="R195" s="2" t="s">
        <v>262</v>
      </c>
      <c r="S195" s="2" t="s">
        <v>1377</v>
      </c>
      <c r="T195" s="3" t="s">
        <v>1378</v>
      </c>
      <c r="U195" s="3" t="s">
        <v>1356</v>
      </c>
      <c r="V195" s="3" t="s">
        <v>1379</v>
      </c>
      <c r="W195" s="3" t="s">
        <v>1380</v>
      </c>
      <c r="X195" s="2" t="n">
        <v>8</v>
      </c>
      <c r="Y195" s="2" t="n">
        <v>3</v>
      </c>
      <c r="Z195" s="2" t="s">
        <v>47</v>
      </c>
      <c r="AA195" s="3"/>
      <c r="AB195" s="5"/>
      <c r="AC195" s="5"/>
      <c r="AD195" s="3" t="s">
        <v>1381</v>
      </c>
      <c r="AE195" s="3" t="s">
        <v>1382</v>
      </c>
    </row>
    <row r="196" customFormat="false" ht="60" hidden="false" customHeight="true" outlineLevel="0" collapsed="false">
      <c r="A196" s="2" t="s">
        <v>1383</v>
      </c>
      <c r="B196" s="2" t="n">
        <v>2023</v>
      </c>
      <c r="C196" s="2" t="s">
        <v>160</v>
      </c>
      <c r="D196" s="2" t="s">
        <v>33</v>
      </c>
      <c r="E196" s="2" t="s">
        <v>34</v>
      </c>
      <c r="F196" s="2" t="n">
        <v>1</v>
      </c>
      <c r="G196" s="2" t="s">
        <v>84</v>
      </c>
      <c r="H196" s="2"/>
      <c r="I196" s="2" t="n">
        <v>6</v>
      </c>
      <c r="J196" s="2" t="n">
        <v>2</v>
      </c>
      <c r="K196" s="2" t="s">
        <v>813</v>
      </c>
      <c r="L196" s="2"/>
      <c r="M196" s="2"/>
      <c r="N196" s="2"/>
      <c r="O196" s="3" t="s">
        <v>308</v>
      </c>
      <c r="P196" s="2" t="s">
        <v>54</v>
      </c>
      <c r="Q196" s="2" t="s">
        <v>55</v>
      </c>
      <c r="R196" s="2" t="s">
        <v>56</v>
      </c>
      <c r="S196" s="2" t="s">
        <v>1384</v>
      </c>
      <c r="T196" s="3" t="s">
        <v>1385</v>
      </c>
      <c r="U196" s="3" t="s">
        <v>1356</v>
      </c>
      <c r="V196" s="3" t="s">
        <v>1386</v>
      </c>
      <c r="W196" s="3" t="s">
        <v>1387</v>
      </c>
      <c r="X196" s="2" t="n">
        <v>9</v>
      </c>
      <c r="Y196" s="2" t="n">
        <v>3</v>
      </c>
      <c r="Z196" s="2" t="s">
        <v>47</v>
      </c>
      <c r="AA196" s="3"/>
      <c r="AB196" s="5"/>
      <c r="AC196" s="5"/>
      <c r="AD196" s="3"/>
      <c r="AE196" s="3" t="s">
        <v>1388</v>
      </c>
    </row>
    <row r="197" customFormat="false" ht="60" hidden="false" customHeight="true" outlineLevel="0" collapsed="false">
      <c r="A197" s="2" t="s">
        <v>1389</v>
      </c>
      <c r="B197" s="2" t="n">
        <v>2023</v>
      </c>
      <c r="C197" s="2" t="s">
        <v>160</v>
      </c>
      <c r="D197" s="2" t="s">
        <v>33</v>
      </c>
      <c r="E197" s="2" t="s">
        <v>104</v>
      </c>
      <c r="F197" s="2" t="n">
        <v>2</v>
      </c>
      <c r="G197" s="2" t="s">
        <v>35</v>
      </c>
      <c r="H197" s="2" t="s">
        <v>1199</v>
      </c>
      <c r="I197" s="2" t="n">
        <v>8</v>
      </c>
      <c r="J197" s="2" t="n">
        <v>2</v>
      </c>
      <c r="K197" s="2" t="s">
        <v>64</v>
      </c>
      <c r="L197" s="2" t="s">
        <v>86</v>
      </c>
      <c r="M197" s="2" t="s">
        <v>37</v>
      </c>
      <c r="N197" s="2"/>
      <c r="O197" s="3" t="s">
        <v>1250</v>
      </c>
      <c r="P197" s="2" t="s">
        <v>224</v>
      </c>
      <c r="Q197" s="2" t="s">
        <v>225</v>
      </c>
      <c r="R197" s="2" t="s">
        <v>1390</v>
      </c>
      <c r="S197" s="2" t="s">
        <v>1391</v>
      </c>
      <c r="T197" s="3" t="s">
        <v>1392</v>
      </c>
      <c r="U197" s="3"/>
      <c r="V197" s="3" t="s">
        <v>1393</v>
      </c>
      <c r="W197" s="3" t="s">
        <v>1394</v>
      </c>
      <c r="X197" s="2" t="n">
        <v>10</v>
      </c>
      <c r="Y197" s="2" t="n">
        <v>4</v>
      </c>
      <c r="Z197" s="2" t="s">
        <v>47</v>
      </c>
      <c r="AA197" s="3"/>
      <c r="AB197" s="5"/>
      <c r="AC197" s="5"/>
      <c r="AD197" s="3"/>
      <c r="AE197" s="3" t="s">
        <v>1395</v>
      </c>
    </row>
    <row r="198" customFormat="false" ht="60" hidden="false" customHeight="true" outlineLevel="0" collapsed="false">
      <c r="A198" s="2" t="s">
        <v>1396</v>
      </c>
      <c r="B198" s="2" t="n">
        <v>2023</v>
      </c>
      <c r="C198" s="2" t="s">
        <v>160</v>
      </c>
      <c r="D198" s="2" t="s">
        <v>33</v>
      </c>
      <c r="E198" s="2" t="s">
        <v>104</v>
      </c>
      <c r="F198" s="2" t="n">
        <v>2</v>
      </c>
      <c r="G198" s="2" t="s">
        <v>52</v>
      </c>
      <c r="H198" s="2" t="s">
        <v>1199</v>
      </c>
      <c r="I198" s="2" t="n">
        <v>12</v>
      </c>
      <c r="J198" s="2" t="n">
        <v>4</v>
      </c>
      <c r="K198" s="2" t="s">
        <v>813</v>
      </c>
      <c r="L198" s="2"/>
      <c r="M198" s="2"/>
      <c r="N198" s="2"/>
      <c r="O198" s="3" t="s">
        <v>308</v>
      </c>
      <c r="P198" s="2" t="s">
        <v>151</v>
      </c>
      <c r="Q198" s="2" t="s">
        <v>152</v>
      </c>
      <c r="R198" s="2" t="s">
        <v>542</v>
      </c>
      <c r="S198" s="2" t="s">
        <v>1046</v>
      </c>
      <c r="T198" s="3" t="s">
        <v>1397</v>
      </c>
      <c r="U198" s="3"/>
      <c r="V198" s="3" t="s">
        <v>1398</v>
      </c>
      <c r="W198" s="3" t="s">
        <v>1399</v>
      </c>
      <c r="X198" s="2" t="n">
        <v>11</v>
      </c>
      <c r="Y198" s="2" t="n">
        <v>4</v>
      </c>
      <c r="Z198" s="2" t="s">
        <v>47</v>
      </c>
      <c r="AA198" s="3"/>
      <c r="AB198" s="5"/>
      <c r="AC198" s="5"/>
      <c r="AD198" s="3"/>
      <c r="AE198" s="3" t="s">
        <v>1400</v>
      </c>
    </row>
    <row r="199" customFormat="false" ht="60" hidden="false" customHeight="true" outlineLevel="0" collapsed="false">
      <c r="A199" s="2" t="s">
        <v>1401</v>
      </c>
      <c r="B199" s="2" t="n">
        <v>2023</v>
      </c>
      <c r="C199" s="2" t="s">
        <v>160</v>
      </c>
      <c r="D199" s="2" t="s">
        <v>33</v>
      </c>
      <c r="E199" s="2" t="s">
        <v>104</v>
      </c>
      <c r="F199" s="2" t="n">
        <v>3</v>
      </c>
      <c r="G199" s="2" t="s">
        <v>35</v>
      </c>
      <c r="H199" s="2" t="s">
        <v>1199</v>
      </c>
      <c r="I199" s="2" t="n">
        <v>8</v>
      </c>
      <c r="J199" s="2" t="n">
        <v>2</v>
      </c>
      <c r="K199" s="2" t="s">
        <v>64</v>
      </c>
      <c r="L199" s="2" t="s">
        <v>86</v>
      </c>
      <c r="M199" s="2" t="s">
        <v>37</v>
      </c>
      <c r="N199" s="2"/>
      <c r="O199" s="3" t="s">
        <v>1402</v>
      </c>
      <c r="P199" s="2" t="s">
        <v>142</v>
      </c>
      <c r="Q199" s="2" t="s">
        <v>143</v>
      </c>
      <c r="R199" s="2" t="s">
        <v>144</v>
      </c>
      <c r="S199" s="2" t="s">
        <v>145</v>
      </c>
      <c r="T199" s="3" t="s">
        <v>1403</v>
      </c>
      <c r="U199" s="3"/>
      <c r="V199" s="3" t="s">
        <v>1404</v>
      </c>
      <c r="W199" s="3" t="s">
        <v>1405</v>
      </c>
      <c r="X199" s="2" t="n">
        <v>13</v>
      </c>
      <c r="Y199" s="2" t="n">
        <v>4</v>
      </c>
      <c r="Z199" s="2" t="s">
        <v>47</v>
      </c>
      <c r="AA199" s="3"/>
      <c r="AB199" s="5"/>
      <c r="AC199" s="5"/>
      <c r="AD199" s="3"/>
      <c r="AE199" s="3" t="s">
        <v>1406</v>
      </c>
    </row>
    <row r="200" customFormat="false" ht="60" hidden="false" customHeight="true" outlineLevel="0" collapsed="false">
      <c r="A200" s="2" t="s">
        <v>1407</v>
      </c>
      <c r="B200" s="2" t="n">
        <v>2023</v>
      </c>
      <c r="C200" s="2" t="s">
        <v>160</v>
      </c>
      <c r="D200" s="2" t="s">
        <v>33</v>
      </c>
      <c r="E200" s="2" t="s">
        <v>104</v>
      </c>
      <c r="F200" s="2" t="n">
        <v>3</v>
      </c>
      <c r="G200" s="2" t="s">
        <v>52</v>
      </c>
      <c r="H200" s="2" t="s">
        <v>1199</v>
      </c>
      <c r="I200" s="2" t="n">
        <v>12</v>
      </c>
      <c r="J200" s="2" t="n">
        <v>4</v>
      </c>
      <c r="K200" s="2" t="s">
        <v>813</v>
      </c>
      <c r="L200" s="2"/>
      <c r="M200" s="2"/>
      <c r="N200" s="2"/>
      <c r="O200" s="3" t="s">
        <v>308</v>
      </c>
      <c r="P200" s="2" t="s">
        <v>1408</v>
      </c>
      <c r="Q200" s="2" t="s">
        <v>1409</v>
      </c>
      <c r="R200" s="2" t="s">
        <v>1410</v>
      </c>
      <c r="S200" s="2" t="s">
        <v>1411</v>
      </c>
      <c r="T200" s="3" t="s">
        <v>1412</v>
      </c>
      <c r="U200" s="3"/>
      <c r="V200" s="3" t="s">
        <v>1413</v>
      </c>
      <c r="W200" s="3" t="s">
        <v>1414</v>
      </c>
      <c r="X200" s="2" t="n">
        <v>15</v>
      </c>
      <c r="Y200" s="2" t="n">
        <v>4</v>
      </c>
      <c r="Z200" s="2" t="s">
        <v>47</v>
      </c>
      <c r="AA200" s="3"/>
      <c r="AB200" s="5"/>
      <c r="AC200" s="5"/>
      <c r="AD200" s="3"/>
      <c r="AE200" s="3" t="s">
        <v>1415</v>
      </c>
    </row>
    <row r="201" customFormat="false" ht="60" hidden="false" customHeight="true" outlineLevel="0" collapsed="false">
      <c r="A201" s="2" t="s">
        <v>1416</v>
      </c>
      <c r="B201" s="2" t="n">
        <v>2023</v>
      </c>
      <c r="C201" s="2" t="s">
        <v>160</v>
      </c>
      <c r="D201" s="2" t="s">
        <v>33</v>
      </c>
      <c r="E201" s="2" t="s">
        <v>1230</v>
      </c>
      <c r="F201" s="2" t="n">
        <v>4</v>
      </c>
      <c r="G201" s="2" t="s">
        <v>35</v>
      </c>
      <c r="H201" s="2" t="s">
        <v>1231</v>
      </c>
      <c r="I201" s="2" t="n">
        <v>8</v>
      </c>
      <c r="J201" s="2" t="n">
        <v>2</v>
      </c>
      <c r="K201" s="2" t="s">
        <v>64</v>
      </c>
      <c r="L201" s="2" t="s">
        <v>86</v>
      </c>
      <c r="M201" s="2"/>
      <c r="N201" s="2"/>
      <c r="O201" s="3" t="s">
        <v>527</v>
      </c>
      <c r="P201" s="2" t="s">
        <v>193</v>
      </c>
      <c r="Q201" s="2" t="s">
        <v>194</v>
      </c>
      <c r="R201" s="2" t="s">
        <v>528</v>
      </c>
      <c r="S201" s="2" t="s">
        <v>1417</v>
      </c>
      <c r="T201" s="3" t="s">
        <v>1418</v>
      </c>
      <c r="U201" s="3"/>
      <c r="V201" s="3" t="s">
        <v>1419</v>
      </c>
      <c r="W201" s="3" t="s">
        <v>1420</v>
      </c>
      <c r="X201" s="2" t="n">
        <v>17</v>
      </c>
      <c r="Y201" s="2" t="n">
        <v>5</v>
      </c>
      <c r="Z201" s="2" t="s">
        <v>47</v>
      </c>
      <c r="AA201" s="3"/>
      <c r="AB201" s="5"/>
      <c r="AC201" s="5"/>
      <c r="AD201" s="3"/>
      <c r="AE201" s="3" t="s">
        <v>1421</v>
      </c>
    </row>
    <row r="202" customFormat="false" ht="60" hidden="false" customHeight="true" outlineLevel="0" collapsed="false">
      <c r="A202" s="2" t="s">
        <v>1422</v>
      </c>
      <c r="B202" s="2" t="n">
        <v>2023</v>
      </c>
      <c r="C202" s="2" t="s">
        <v>160</v>
      </c>
      <c r="D202" s="2" t="s">
        <v>33</v>
      </c>
      <c r="E202" s="2" t="s">
        <v>1230</v>
      </c>
      <c r="F202" s="2" t="n">
        <v>4</v>
      </c>
      <c r="G202" s="2" t="s">
        <v>52</v>
      </c>
      <c r="H202" s="2" t="s">
        <v>1231</v>
      </c>
      <c r="I202" s="2" t="n">
        <v>12</v>
      </c>
      <c r="J202" s="2" t="n">
        <v>4</v>
      </c>
      <c r="K202" s="2" t="s">
        <v>813</v>
      </c>
      <c r="L202" s="2"/>
      <c r="M202" s="2"/>
      <c r="N202" s="2"/>
      <c r="O202" s="3" t="s">
        <v>308</v>
      </c>
      <c r="P202" s="2" t="s">
        <v>466</v>
      </c>
      <c r="Q202" s="2" t="s">
        <v>467</v>
      </c>
      <c r="R202" s="2" t="s">
        <v>1006</v>
      </c>
      <c r="S202" s="2" t="s">
        <v>1007</v>
      </c>
      <c r="T202" s="3" t="s">
        <v>1423</v>
      </c>
      <c r="U202" s="3"/>
      <c r="V202" s="3" t="s">
        <v>1424</v>
      </c>
      <c r="W202" s="3" t="s">
        <v>1425</v>
      </c>
      <c r="X202" s="2" t="n">
        <v>19</v>
      </c>
      <c r="Y202" s="2" t="n">
        <v>5</v>
      </c>
      <c r="Z202" s="2" t="s">
        <v>47</v>
      </c>
      <c r="AA202" s="3"/>
      <c r="AB202" s="5"/>
      <c r="AC202" s="5"/>
      <c r="AD202" s="3" t="s">
        <v>1426</v>
      </c>
      <c r="AE202" s="3" t="s">
        <v>1427</v>
      </c>
    </row>
    <row r="203" customFormat="false" ht="60" hidden="false" customHeight="true" outlineLevel="0" collapsed="false">
      <c r="A203" s="2" t="s">
        <v>1428</v>
      </c>
      <c r="B203" s="2" t="n">
        <v>2023</v>
      </c>
      <c r="C203" s="2" t="s">
        <v>160</v>
      </c>
      <c r="D203" s="2" t="s">
        <v>33</v>
      </c>
      <c r="E203" s="2" t="s">
        <v>1230</v>
      </c>
      <c r="F203" s="2" t="n">
        <v>5</v>
      </c>
      <c r="G203" s="2" t="s">
        <v>35</v>
      </c>
      <c r="H203" s="2" t="s">
        <v>1231</v>
      </c>
      <c r="I203" s="2" t="n">
        <v>8</v>
      </c>
      <c r="J203" s="2" t="n">
        <v>2</v>
      </c>
      <c r="K203" s="2" t="s">
        <v>64</v>
      </c>
      <c r="L203" s="2" t="s">
        <v>86</v>
      </c>
      <c r="M203" s="2"/>
      <c r="N203" s="2"/>
      <c r="O203" s="3"/>
      <c r="P203" s="2" t="s">
        <v>39</v>
      </c>
      <c r="Q203" s="2" t="s">
        <v>40</v>
      </c>
      <c r="R203" s="2" t="s">
        <v>1429</v>
      </c>
      <c r="S203" s="2" t="s">
        <v>1430</v>
      </c>
      <c r="T203" s="3" t="s">
        <v>1431</v>
      </c>
      <c r="U203" s="3"/>
      <c r="V203" s="3" t="s">
        <v>1432</v>
      </c>
      <c r="W203" s="3" t="s">
        <v>1433</v>
      </c>
      <c r="X203" s="2" t="n">
        <v>20</v>
      </c>
      <c r="Y203" s="2" t="n">
        <v>5</v>
      </c>
      <c r="Z203" s="2" t="s">
        <v>47</v>
      </c>
      <c r="AA203" s="3"/>
      <c r="AB203" s="5"/>
      <c r="AC203" s="5"/>
      <c r="AD203" s="3"/>
      <c r="AE203" s="3" t="s">
        <v>1434</v>
      </c>
    </row>
    <row r="204" customFormat="false" ht="60" hidden="false" customHeight="true" outlineLevel="0" collapsed="false">
      <c r="A204" s="2" t="s">
        <v>1435</v>
      </c>
      <c r="B204" s="2" t="n">
        <v>2023</v>
      </c>
      <c r="C204" s="2" t="s">
        <v>160</v>
      </c>
      <c r="D204" s="2" t="s">
        <v>33</v>
      </c>
      <c r="E204" s="2" t="s">
        <v>1230</v>
      </c>
      <c r="F204" s="2" t="n">
        <v>5</v>
      </c>
      <c r="G204" s="2" t="s">
        <v>52</v>
      </c>
      <c r="H204" s="2" t="s">
        <v>1231</v>
      </c>
      <c r="I204" s="2" t="n">
        <v>12</v>
      </c>
      <c r="J204" s="2" t="n">
        <v>4</v>
      </c>
      <c r="K204" s="2" t="s">
        <v>813</v>
      </c>
      <c r="L204" s="2"/>
      <c r="M204" s="2"/>
      <c r="N204" s="2"/>
      <c r="O204" s="3" t="s">
        <v>527</v>
      </c>
      <c r="P204" s="2" t="s">
        <v>87</v>
      </c>
      <c r="Q204" s="2" t="s">
        <v>88</v>
      </c>
      <c r="R204" s="2" t="s">
        <v>1436</v>
      </c>
      <c r="S204" s="2" t="s">
        <v>1437</v>
      </c>
      <c r="T204" s="3" t="s">
        <v>1438</v>
      </c>
      <c r="U204" s="3"/>
      <c r="V204" s="3" t="s">
        <v>1439</v>
      </c>
      <c r="W204" s="3" t="s">
        <v>1440</v>
      </c>
      <c r="X204" s="2" t="n">
        <v>21</v>
      </c>
      <c r="Y204" s="2" t="n">
        <v>5</v>
      </c>
      <c r="Z204" s="2" t="s">
        <v>47</v>
      </c>
      <c r="AA204" s="3"/>
      <c r="AB204" s="5"/>
      <c r="AC204" s="5"/>
      <c r="AD204" s="3" t="s">
        <v>1441</v>
      </c>
      <c r="AE204" s="3" t="s">
        <v>1442</v>
      </c>
    </row>
    <row r="205" customFormat="false" ht="60" hidden="false" customHeight="true" outlineLevel="0" collapsed="false">
      <c r="A205" s="2" t="s">
        <v>1443</v>
      </c>
      <c r="B205" s="2" t="n">
        <v>2023</v>
      </c>
      <c r="C205" s="2" t="s">
        <v>160</v>
      </c>
      <c r="D205" s="2" t="s">
        <v>316</v>
      </c>
      <c r="E205" s="2" t="s">
        <v>34</v>
      </c>
      <c r="F205" s="2" t="n">
        <v>1</v>
      </c>
      <c r="G205" s="2" t="s">
        <v>35</v>
      </c>
      <c r="H205" s="2"/>
      <c r="I205" s="2" t="n">
        <v>2</v>
      </c>
      <c r="J205" s="2" t="n">
        <v>0</v>
      </c>
      <c r="K205" s="2" t="s">
        <v>36</v>
      </c>
      <c r="L205" s="2"/>
      <c r="M205" s="2"/>
      <c r="N205" s="2" t="s">
        <v>37</v>
      </c>
      <c r="O205" s="3" t="s">
        <v>38</v>
      </c>
      <c r="P205" s="2" t="s">
        <v>185</v>
      </c>
      <c r="Q205" s="2" t="s">
        <v>186</v>
      </c>
      <c r="R205" s="2" t="s">
        <v>317</v>
      </c>
      <c r="S205" s="2" t="s">
        <v>318</v>
      </c>
      <c r="T205" s="3" t="s">
        <v>1444</v>
      </c>
      <c r="U205" s="3" t="s">
        <v>1445</v>
      </c>
      <c r="V205" s="3" t="s">
        <v>1446</v>
      </c>
      <c r="W205" s="3" t="s">
        <v>1447</v>
      </c>
      <c r="X205" s="2" t="n">
        <v>7</v>
      </c>
      <c r="Y205" s="2" t="n">
        <v>3</v>
      </c>
      <c r="Z205" s="2" t="s">
        <v>47</v>
      </c>
      <c r="AA205" s="4" t="s">
        <v>567</v>
      </c>
      <c r="AB205" s="5"/>
      <c r="AC205" s="5"/>
      <c r="AD205" s="3" t="s">
        <v>1448</v>
      </c>
      <c r="AE205" s="3" t="s">
        <v>1449</v>
      </c>
    </row>
    <row r="206" customFormat="false" ht="60" hidden="false" customHeight="true" outlineLevel="0" collapsed="false">
      <c r="A206" s="2" t="s">
        <v>1450</v>
      </c>
      <c r="B206" s="2" t="n">
        <v>2023</v>
      </c>
      <c r="C206" s="2" t="s">
        <v>160</v>
      </c>
      <c r="D206" s="2" t="s">
        <v>316</v>
      </c>
      <c r="E206" s="2" t="s">
        <v>34</v>
      </c>
      <c r="F206" s="2" t="n">
        <v>1</v>
      </c>
      <c r="G206" s="2" t="s">
        <v>52</v>
      </c>
      <c r="H206" s="2"/>
      <c r="I206" s="2" t="n">
        <v>2</v>
      </c>
      <c r="J206" s="2" t="n">
        <v>0</v>
      </c>
      <c r="K206" s="2" t="s">
        <v>64</v>
      </c>
      <c r="L206" s="2"/>
      <c r="M206" s="2"/>
      <c r="N206" s="2"/>
      <c r="O206" s="3"/>
      <c r="P206" s="2" t="s">
        <v>185</v>
      </c>
      <c r="Q206" s="2" t="s">
        <v>186</v>
      </c>
      <c r="R206" s="2" t="s">
        <v>317</v>
      </c>
      <c r="S206" s="2" t="s">
        <v>1451</v>
      </c>
      <c r="T206" s="3" t="s">
        <v>1452</v>
      </c>
      <c r="U206" s="3" t="s">
        <v>1445</v>
      </c>
      <c r="V206" s="3" t="s">
        <v>1453</v>
      </c>
      <c r="W206" s="3" t="s">
        <v>1454</v>
      </c>
      <c r="X206" s="2" t="n">
        <v>7</v>
      </c>
      <c r="Y206" s="2" t="n">
        <v>3</v>
      </c>
      <c r="Z206" s="2" t="s">
        <v>47</v>
      </c>
      <c r="AA206" s="3"/>
      <c r="AB206" s="5"/>
      <c r="AC206" s="5"/>
      <c r="AD206" s="3"/>
      <c r="AE206" s="3" t="s">
        <v>1455</v>
      </c>
    </row>
    <row r="207" customFormat="false" ht="60" hidden="false" customHeight="true" outlineLevel="0" collapsed="false">
      <c r="A207" s="2" t="s">
        <v>1456</v>
      </c>
      <c r="B207" s="2" t="n">
        <v>2023</v>
      </c>
      <c r="C207" s="2" t="s">
        <v>160</v>
      </c>
      <c r="D207" s="2" t="s">
        <v>316</v>
      </c>
      <c r="E207" s="2" t="s">
        <v>34</v>
      </c>
      <c r="F207" s="2" t="n">
        <v>1</v>
      </c>
      <c r="G207" s="2" t="s">
        <v>63</v>
      </c>
      <c r="H207" s="2"/>
      <c r="I207" s="2" t="n">
        <v>2</v>
      </c>
      <c r="J207" s="2" t="n">
        <v>0</v>
      </c>
      <c r="K207" s="2" t="s">
        <v>1457</v>
      </c>
      <c r="L207" s="2"/>
      <c r="M207" s="2"/>
      <c r="N207" s="2"/>
      <c r="O207" s="3" t="s">
        <v>308</v>
      </c>
      <c r="P207" s="2" t="s">
        <v>124</v>
      </c>
      <c r="Q207" s="2" t="s">
        <v>125</v>
      </c>
      <c r="R207" s="2" t="s">
        <v>126</v>
      </c>
      <c r="S207" s="2" t="s">
        <v>491</v>
      </c>
      <c r="T207" s="3" t="s">
        <v>1458</v>
      </c>
      <c r="U207" s="3" t="s">
        <v>1445</v>
      </c>
      <c r="V207" s="3" t="s">
        <v>1459</v>
      </c>
      <c r="W207" s="3" t="s">
        <v>1460</v>
      </c>
      <c r="X207" s="2" t="n">
        <v>7</v>
      </c>
      <c r="Y207" s="2" t="n">
        <v>3</v>
      </c>
      <c r="Z207" s="2" t="s">
        <v>47</v>
      </c>
      <c r="AA207" s="3"/>
      <c r="AB207" s="5"/>
      <c r="AC207" s="5"/>
      <c r="AD207" s="3"/>
      <c r="AE207" s="3" t="s">
        <v>1461</v>
      </c>
    </row>
    <row r="208" customFormat="false" ht="60" hidden="false" customHeight="true" outlineLevel="0" collapsed="false">
      <c r="A208" s="2" t="s">
        <v>1462</v>
      </c>
      <c r="B208" s="2" t="n">
        <v>2023</v>
      </c>
      <c r="C208" s="2" t="s">
        <v>160</v>
      </c>
      <c r="D208" s="2" t="s">
        <v>316</v>
      </c>
      <c r="E208" s="2" t="s">
        <v>34</v>
      </c>
      <c r="F208" s="2" t="n">
        <v>1</v>
      </c>
      <c r="G208" s="2" t="s">
        <v>72</v>
      </c>
      <c r="H208" s="2"/>
      <c r="I208" s="2" t="n">
        <v>2</v>
      </c>
      <c r="J208" s="2" t="n">
        <v>0</v>
      </c>
      <c r="K208" s="2" t="s">
        <v>64</v>
      </c>
      <c r="L208" s="2"/>
      <c r="M208" s="2"/>
      <c r="N208" s="2"/>
      <c r="O208" s="3"/>
      <c r="P208" s="2" t="s">
        <v>209</v>
      </c>
      <c r="Q208" s="2" t="s">
        <v>210</v>
      </c>
      <c r="R208" s="2" t="s">
        <v>340</v>
      </c>
      <c r="S208" s="2" t="s">
        <v>1463</v>
      </c>
      <c r="T208" s="3" t="s">
        <v>1464</v>
      </c>
      <c r="U208" s="3" t="s">
        <v>1445</v>
      </c>
      <c r="V208" s="3" t="s">
        <v>1465</v>
      </c>
      <c r="W208" s="3" t="s">
        <v>1466</v>
      </c>
      <c r="X208" s="2" t="n">
        <v>7</v>
      </c>
      <c r="Y208" s="2" t="n">
        <v>3</v>
      </c>
      <c r="Z208" s="2" t="s">
        <v>47</v>
      </c>
      <c r="AA208" s="3"/>
      <c r="AB208" s="5"/>
      <c r="AC208" s="5"/>
      <c r="AD208" s="3"/>
      <c r="AE208" s="3" t="s">
        <v>1467</v>
      </c>
    </row>
    <row r="209" customFormat="false" ht="60" hidden="false" customHeight="true" outlineLevel="0" collapsed="false">
      <c r="A209" s="2" t="s">
        <v>1468</v>
      </c>
      <c r="B209" s="2" t="n">
        <v>2023</v>
      </c>
      <c r="C209" s="2" t="s">
        <v>160</v>
      </c>
      <c r="D209" s="2" t="s">
        <v>316</v>
      </c>
      <c r="E209" s="2" t="s">
        <v>34</v>
      </c>
      <c r="F209" s="2" t="n">
        <v>1</v>
      </c>
      <c r="G209" s="2" t="s">
        <v>84</v>
      </c>
      <c r="H209" s="2"/>
      <c r="I209" s="2" t="n">
        <v>6</v>
      </c>
      <c r="J209" s="2" t="n">
        <v>2</v>
      </c>
      <c r="K209" s="2" t="s">
        <v>813</v>
      </c>
      <c r="L209" s="2"/>
      <c r="M209" s="2" t="s">
        <v>37</v>
      </c>
      <c r="N209" s="2"/>
      <c r="O209" s="3" t="s">
        <v>73</v>
      </c>
      <c r="P209" s="2" t="s">
        <v>142</v>
      </c>
      <c r="Q209" s="2" t="s">
        <v>143</v>
      </c>
      <c r="R209" s="2" t="s">
        <v>1469</v>
      </c>
      <c r="S209" s="2" t="s">
        <v>1470</v>
      </c>
      <c r="T209" s="3" t="s">
        <v>1471</v>
      </c>
      <c r="U209" s="3" t="s">
        <v>1445</v>
      </c>
      <c r="V209" s="3" t="s">
        <v>1472</v>
      </c>
      <c r="W209" s="3" t="s">
        <v>1473</v>
      </c>
      <c r="X209" s="2" t="n">
        <v>8</v>
      </c>
      <c r="Y209" s="2" t="n">
        <v>3</v>
      </c>
      <c r="Z209" s="2" t="s">
        <v>47</v>
      </c>
      <c r="AA209" s="3"/>
      <c r="AB209" s="5"/>
      <c r="AC209" s="5"/>
      <c r="AD209" s="3"/>
      <c r="AE209" s="3" t="s">
        <v>1474</v>
      </c>
    </row>
    <row r="210" customFormat="false" ht="60" hidden="false" customHeight="true" outlineLevel="0" collapsed="false">
      <c r="A210" s="2" t="s">
        <v>1475</v>
      </c>
      <c r="B210" s="2" t="n">
        <v>2023</v>
      </c>
      <c r="C210" s="2" t="s">
        <v>160</v>
      </c>
      <c r="D210" s="2" t="s">
        <v>316</v>
      </c>
      <c r="E210" s="2" t="s">
        <v>34</v>
      </c>
      <c r="F210" s="2" t="n">
        <v>1</v>
      </c>
      <c r="G210" s="2" t="s">
        <v>96</v>
      </c>
      <c r="H210" s="2"/>
      <c r="I210" s="2" t="n">
        <v>6</v>
      </c>
      <c r="J210" s="2" t="n">
        <v>2</v>
      </c>
      <c r="K210" s="2" t="s">
        <v>813</v>
      </c>
      <c r="L210" s="2"/>
      <c r="M210" s="2"/>
      <c r="N210" s="2"/>
      <c r="O210" s="3"/>
      <c r="P210" s="2" t="s">
        <v>151</v>
      </c>
      <c r="Q210" s="2" t="s">
        <v>152</v>
      </c>
      <c r="R210" s="2" t="s">
        <v>153</v>
      </c>
      <c r="S210" s="2" t="s">
        <v>1476</v>
      </c>
      <c r="T210" s="3" t="s">
        <v>1477</v>
      </c>
      <c r="U210" s="3" t="s">
        <v>1445</v>
      </c>
      <c r="V210" s="3" t="s">
        <v>1478</v>
      </c>
      <c r="W210" s="3" t="s">
        <v>1479</v>
      </c>
      <c r="X210" s="2" t="n">
        <v>9</v>
      </c>
      <c r="Y210" s="2" t="n">
        <v>3</v>
      </c>
      <c r="Z210" s="2" t="s">
        <v>47</v>
      </c>
      <c r="AA210" s="3"/>
      <c r="AB210" s="5"/>
      <c r="AC210" s="5"/>
      <c r="AD210" s="3"/>
      <c r="AE210" s="3" t="s">
        <v>1480</v>
      </c>
    </row>
    <row r="211" customFormat="false" ht="60" hidden="false" customHeight="true" outlineLevel="0" collapsed="false">
      <c r="A211" s="2" t="s">
        <v>1481</v>
      </c>
      <c r="B211" s="2" t="n">
        <v>2023</v>
      </c>
      <c r="C211" s="2" t="s">
        <v>160</v>
      </c>
      <c r="D211" s="2" t="s">
        <v>316</v>
      </c>
      <c r="E211" s="2" t="s">
        <v>104</v>
      </c>
      <c r="F211" s="2" t="n">
        <v>2</v>
      </c>
      <c r="G211" s="2" t="s">
        <v>35</v>
      </c>
      <c r="H211" s="2" t="s">
        <v>1199</v>
      </c>
      <c r="I211" s="2" t="n">
        <v>8</v>
      </c>
      <c r="J211" s="2" t="n">
        <v>2</v>
      </c>
      <c r="K211" s="2" t="s">
        <v>64</v>
      </c>
      <c r="L211" s="2" t="s">
        <v>86</v>
      </c>
      <c r="M211" s="2"/>
      <c r="N211" s="2"/>
      <c r="O211" s="3"/>
      <c r="P211" s="2" t="s">
        <v>124</v>
      </c>
      <c r="Q211" s="2" t="s">
        <v>125</v>
      </c>
      <c r="R211" s="2" t="s">
        <v>126</v>
      </c>
      <c r="S211" s="2" t="s">
        <v>127</v>
      </c>
      <c r="T211" s="3" t="s">
        <v>1482</v>
      </c>
      <c r="U211" s="3"/>
      <c r="V211" s="3" t="s">
        <v>1483</v>
      </c>
      <c r="W211" s="3" t="s">
        <v>1484</v>
      </c>
      <c r="X211" s="2" t="n">
        <v>10</v>
      </c>
      <c r="Y211" s="2" t="n">
        <v>3</v>
      </c>
      <c r="Z211" s="2" t="s">
        <v>47</v>
      </c>
      <c r="AA211" s="3"/>
      <c r="AB211" s="5"/>
      <c r="AC211" s="5"/>
      <c r="AD211" s="3"/>
      <c r="AE211" s="3" t="s">
        <v>1485</v>
      </c>
    </row>
    <row r="212" customFormat="false" ht="60" hidden="false" customHeight="true" outlineLevel="0" collapsed="false">
      <c r="A212" s="2" t="s">
        <v>1486</v>
      </c>
      <c r="B212" s="2" t="n">
        <v>2023</v>
      </c>
      <c r="C212" s="2" t="s">
        <v>160</v>
      </c>
      <c r="D212" s="2" t="s">
        <v>316</v>
      </c>
      <c r="E212" s="2" t="s">
        <v>104</v>
      </c>
      <c r="F212" s="2" t="n">
        <v>2</v>
      </c>
      <c r="G212" s="2" t="s">
        <v>52</v>
      </c>
      <c r="H212" s="2" t="s">
        <v>1199</v>
      </c>
      <c r="I212" s="2" t="n">
        <v>12</v>
      </c>
      <c r="J212" s="2" t="n">
        <v>4</v>
      </c>
      <c r="K212" s="2" t="s">
        <v>813</v>
      </c>
      <c r="L212" s="2"/>
      <c r="M212" s="2"/>
      <c r="N212" s="2"/>
      <c r="O212" s="3" t="s">
        <v>232</v>
      </c>
      <c r="P212" s="2" t="s">
        <v>224</v>
      </c>
      <c r="Q212" s="2" t="s">
        <v>225</v>
      </c>
      <c r="R212" s="2" t="s">
        <v>226</v>
      </c>
      <c r="S212" s="2" t="s">
        <v>1487</v>
      </c>
      <c r="T212" s="3" t="s">
        <v>1488</v>
      </c>
      <c r="U212" s="3"/>
      <c r="V212" s="3" t="s">
        <v>1489</v>
      </c>
      <c r="W212" s="3" t="s">
        <v>1490</v>
      </c>
      <c r="X212" s="2" t="n">
        <v>11</v>
      </c>
      <c r="Y212" s="2" t="n">
        <v>3</v>
      </c>
      <c r="Z212" s="2" t="s">
        <v>47</v>
      </c>
      <c r="AA212" s="3"/>
      <c r="AB212" s="5"/>
      <c r="AC212" s="5"/>
      <c r="AD212" s="3"/>
      <c r="AE212" s="3" t="s">
        <v>1491</v>
      </c>
    </row>
    <row r="213" customFormat="false" ht="60" hidden="false" customHeight="true" outlineLevel="0" collapsed="false">
      <c r="A213" s="2" t="s">
        <v>1492</v>
      </c>
      <c r="B213" s="2" t="n">
        <v>2023</v>
      </c>
      <c r="C213" s="2" t="s">
        <v>160</v>
      </c>
      <c r="D213" s="2" t="s">
        <v>316</v>
      </c>
      <c r="E213" s="2" t="s">
        <v>104</v>
      </c>
      <c r="F213" s="2" t="n">
        <v>3</v>
      </c>
      <c r="G213" s="2" t="s">
        <v>35</v>
      </c>
      <c r="H213" s="2" t="s">
        <v>1199</v>
      </c>
      <c r="I213" s="2" t="n">
        <v>8</v>
      </c>
      <c r="J213" s="2" t="n">
        <v>2</v>
      </c>
      <c r="K213" s="2" t="s">
        <v>64</v>
      </c>
      <c r="L213" s="2" t="s">
        <v>86</v>
      </c>
      <c r="M213" s="2"/>
      <c r="N213" s="2"/>
      <c r="O213" s="3" t="s">
        <v>527</v>
      </c>
      <c r="P213" s="2" t="s">
        <v>1493</v>
      </c>
      <c r="Q213" s="2" t="s">
        <v>1494</v>
      </c>
      <c r="R213" s="2" t="s">
        <v>1495</v>
      </c>
      <c r="S213" s="2" t="s">
        <v>1496</v>
      </c>
      <c r="T213" s="3" t="s">
        <v>1497</v>
      </c>
      <c r="U213" s="3"/>
      <c r="V213" s="3" t="s">
        <v>1498</v>
      </c>
      <c r="W213" s="3" t="s">
        <v>1499</v>
      </c>
      <c r="X213" s="2" t="n">
        <v>12</v>
      </c>
      <c r="Y213" s="2" t="n">
        <v>3</v>
      </c>
      <c r="Z213" s="2" t="s">
        <v>47</v>
      </c>
      <c r="AA213" s="3"/>
      <c r="AB213" s="5"/>
      <c r="AC213" s="5"/>
      <c r="AD213" s="3"/>
      <c r="AE213" s="3" t="s">
        <v>1500</v>
      </c>
    </row>
    <row r="214" customFormat="false" ht="60" hidden="false" customHeight="true" outlineLevel="0" collapsed="false">
      <c r="A214" s="2" t="s">
        <v>1501</v>
      </c>
      <c r="B214" s="2" t="n">
        <v>2023</v>
      </c>
      <c r="C214" s="2" t="s">
        <v>160</v>
      </c>
      <c r="D214" s="2" t="s">
        <v>316</v>
      </c>
      <c r="E214" s="2" t="s">
        <v>104</v>
      </c>
      <c r="F214" s="2" t="n">
        <v>3</v>
      </c>
      <c r="G214" s="2" t="s">
        <v>52</v>
      </c>
      <c r="H214" s="2" t="s">
        <v>1199</v>
      </c>
      <c r="I214" s="2" t="n">
        <v>12</v>
      </c>
      <c r="J214" s="2" t="n">
        <v>4</v>
      </c>
      <c r="K214" s="2" t="s">
        <v>813</v>
      </c>
      <c r="L214" s="2"/>
      <c r="M214" s="2"/>
      <c r="N214" s="2"/>
      <c r="O214" s="3"/>
      <c r="P214" s="2" t="s">
        <v>151</v>
      </c>
      <c r="Q214" s="2" t="s">
        <v>152</v>
      </c>
      <c r="R214" s="2" t="s">
        <v>950</v>
      </c>
      <c r="S214" s="2" t="s">
        <v>1323</v>
      </c>
      <c r="T214" s="3" t="s">
        <v>1502</v>
      </c>
      <c r="U214" s="3"/>
      <c r="V214" s="3" t="s">
        <v>1503</v>
      </c>
      <c r="W214" s="3" t="s">
        <v>1504</v>
      </c>
      <c r="X214" s="2" t="n">
        <v>13</v>
      </c>
      <c r="Y214" s="2" t="n">
        <v>3</v>
      </c>
      <c r="Z214" s="2" t="s">
        <v>47</v>
      </c>
      <c r="AA214" s="3"/>
      <c r="AB214" s="5"/>
      <c r="AC214" s="5"/>
      <c r="AD214" s="3"/>
      <c r="AE214" s="3" t="s">
        <v>1505</v>
      </c>
    </row>
    <row r="215" customFormat="false" ht="60" hidden="false" customHeight="true" outlineLevel="0" collapsed="false">
      <c r="A215" s="2" t="s">
        <v>1506</v>
      </c>
      <c r="B215" s="2" t="n">
        <v>2023</v>
      </c>
      <c r="C215" s="2" t="s">
        <v>160</v>
      </c>
      <c r="D215" s="2" t="s">
        <v>316</v>
      </c>
      <c r="E215" s="2" t="s">
        <v>1230</v>
      </c>
      <c r="F215" s="2" t="n">
        <v>4</v>
      </c>
      <c r="G215" s="2" t="s">
        <v>35</v>
      </c>
      <c r="H215" s="2" t="s">
        <v>1231</v>
      </c>
      <c r="I215" s="2" t="n">
        <v>8</v>
      </c>
      <c r="J215" s="2" t="n">
        <v>2</v>
      </c>
      <c r="K215" s="2" t="s">
        <v>64</v>
      </c>
      <c r="L215" s="2" t="s">
        <v>86</v>
      </c>
      <c r="M215" s="2" t="s">
        <v>37</v>
      </c>
      <c r="N215" s="2"/>
      <c r="O215" s="3" t="s">
        <v>676</v>
      </c>
      <c r="P215" s="2" t="s">
        <v>1232</v>
      </c>
      <c r="Q215" s="2" t="s">
        <v>1233</v>
      </c>
      <c r="R215" s="2" t="s">
        <v>1234</v>
      </c>
      <c r="S215" s="2" t="s">
        <v>1507</v>
      </c>
      <c r="T215" s="3" t="s">
        <v>1508</v>
      </c>
      <c r="U215" s="3"/>
      <c r="V215" s="3" t="s">
        <v>1509</v>
      </c>
      <c r="W215" s="3" t="s">
        <v>1510</v>
      </c>
      <c r="X215" s="2" t="n">
        <v>14</v>
      </c>
      <c r="Y215" s="2" t="n">
        <v>4</v>
      </c>
      <c r="Z215" s="2" t="s">
        <v>47</v>
      </c>
      <c r="AA215" s="3"/>
      <c r="AB215" s="5"/>
      <c r="AC215" s="5"/>
      <c r="AD215" s="3"/>
      <c r="AE215" s="3" t="s">
        <v>1511</v>
      </c>
    </row>
    <row r="216" customFormat="false" ht="60" hidden="false" customHeight="true" outlineLevel="0" collapsed="false">
      <c r="A216" s="2" t="s">
        <v>1512</v>
      </c>
      <c r="B216" s="2" t="n">
        <v>2023</v>
      </c>
      <c r="C216" s="2" t="s">
        <v>160</v>
      </c>
      <c r="D216" s="2" t="s">
        <v>316</v>
      </c>
      <c r="E216" s="2" t="s">
        <v>1230</v>
      </c>
      <c r="F216" s="2" t="n">
        <v>4</v>
      </c>
      <c r="G216" s="2" t="s">
        <v>52</v>
      </c>
      <c r="H216" s="2" t="s">
        <v>1231</v>
      </c>
      <c r="I216" s="2" t="n">
        <v>12</v>
      </c>
      <c r="J216" s="2" t="n">
        <v>4</v>
      </c>
      <c r="K216" s="2" t="s">
        <v>813</v>
      </c>
      <c r="L216" s="2"/>
      <c r="M216" s="2"/>
      <c r="N216" s="2"/>
      <c r="O216" s="3" t="s">
        <v>527</v>
      </c>
      <c r="P216" s="2" t="s">
        <v>1232</v>
      </c>
      <c r="Q216" s="2" t="s">
        <v>1233</v>
      </c>
      <c r="R216" s="2" t="s">
        <v>1513</v>
      </c>
      <c r="S216" s="2" t="s">
        <v>1514</v>
      </c>
      <c r="T216" s="3" t="s">
        <v>1515</v>
      </c>
      <c r="U216" s="3"/>
      <c r="V216" s="3" t="s">
        <v>1516</v>
      </c>
      <c r="W216" s="3" t="s">
        <v>1517</v>
      </c>
      <c r="X216" s="2" t="n">
        <v>15</v>
      </c>
      <c r="Y216" s="2" t="n">
        <v>4</v>
      </c>
      <c r="Z216" s="2" t="s">
        <v>47</v>
      </c>
      <c r="AA216" s="3"/>
      <c r="AB216" s="5"/>
      <c r="AC216" s="5"/>
      <c r="AD216" s="3"/>
      <c r="AE216" s="3" t="s">
        <v>1518</v>
      </c>
    </row>
    <row r="217" customFormat="false" ht="60" hidden="false" customHeight="true" outlineLevel="0" collapsed="false">
      <c r="A217" s="2" t="s">
        <v>1519</v>
      </c>
      <c r="B217" s="2" t="n">
        <v>2023</v>
      </c>
      <c r="C217" s="2" t="s">
        <v>160</v>
      </c>
      <c r="D217" s="2" t="s">
        <v>316</v>
      </c>
      <c r="E217" s="2" t="s">
        <v>1230</v>
      </c>
      <c r="F217" s="2" t="n">
        <v>5</v>
      </c>
      <c r="G217" s="2" t="s">
        <v>35</v>
      </c>
      <c r="H217" s="2" t="s">
        <v>1231</v>
      </c>
      <c r="I217" s="2" t="n">
        <v>8</v>
      </c>
      <c r="J217" s="2" t="n">
        <v>2</v>
      </c>
      <c r="K217" s="2" t="s">
        <v>64</v>
      </c>
      <c r="L217" s="2" t="s">
        <v>86</v>
      </c>
      <c r="M217" s="2"/>
      <c r="N217" s="2"/>
      <c r="O217" s="3"/>
      <c r="P217" s="2" t="s">
        <v>87</v>
      </c>
      <c r="Q217" s="2" t="s">
        <v>88</v>
      </c>
      <c r="R217" s="2" t="s">
        <v>663</v>
      </c>
      <c r="S217" s="2" t="s">
        <v>90</v>
      </c>
      <c r="T217" s="3" t="s">
        <v>1520</v>
      </c>
      <c r="U217" s="3"/>
      <c r="V217" s="3" t="s">
        <v>1521</v>
      </c>
      <c r="W217" s="3" t="s">
        <v>1522</v>
      </c>
      <c r="X217" s="2" t="n">
        <v>16</v>
      </c>
      <c r="Y217" s="2" t="n">
        <v>4</v>
      </c>
      <c r="Z217" s="2" t="s">
        <v>47</v>
      </c>
      <c r="AA217" s="3"/>
      <c r="AB217" s="5"/>
      <c r="AC217" s="5"/>
      <c r="AD217" s="3"/>
      <c r="AE217" s="3" t="s">
        <v>1523</v>
      </c>
    </row>
    <row r="218" customFormat="false" ht="60" hidden="false" customHeight="true" outlineLevel="0" collapsed="false">
      <c r="A218" s="2" t="s">
        <v>1524</v>
      </c>
      <c r="B218" s="2" t="n">
        <v>2023</v>
      </c>
      <c r="C218" s="2" t="s">
        <v>160</v>
      </c>
      <c r="D218" s="2" t="s">
        <v>316</v>
      </c>
      <c r="E218" s="2" t="s">
        <v>1230</v>
      </c>
      <c r="F218" s="2" t="n">
        <v>5</v>
      </c>
      <c r="G218" s="2" t="s">
        <v>52</v>
      </c>
      <c r="H218" s="2" t="s">
        <v>1231</v>
      </c>
      <c r="I218" s="2" t="n">
        <v>12</v>
      </c>
      <c r="J218" s="2" t="n">
        <v>4</v>
      </c>
      <c r="K218" s="2" t="s">
        <v>813</v>
      </c>
      <c r="L218" s="2"/>
      <c r="M218" s="2"/>
      <c r="N218" s="2"/>
      <c r="O218" s="3"/>
      <c r="P218" s="2" t="s">
        <v>1525</v>
      </c>
      <c r="Q218" s="2" t="s">
        <v>1526</v>
      </c>
      <c r="R218" s="2" t="s">
        <v>1527</v>
      </c>
      <c r="S218" s="2" t="s">
        <v>1528</v>
      </c>
      <c r="T218" s="3" t="s">
        <v>1529</v>
      </c>
      <c r="U218" s="3"/>
      <c r="V218" s="3" t="s">
        <v>1530</v>
      </c>
      <c r="W218" s="3" t="s">
        <v>1531</v>
      </c>
      <c r="X218" s="2" t="n">
        <v>17</v>
      </c>
      <c r="Y218" s="2" t="n">
        <v>4</v>
      </c>
      <c r="Z218" s="2" t="s">
        <v>47</v>
      </c>
      <c r="AA218" s="3"/>
      <c r="AB218" s="5"/>
      <c r="AC218" s="5"/>
      <c r="AD218" s="3"/>
      <c r="AE218" s="3" t="s">
        <v>1532</v>
      </c>
    </row>
    <row r="219" customFormat="false" ht="60" hidden="false" customHeight="true" outlineLevel="0" collapsed="false">
      <c r="A219" s="2" t="s">
        <v>1533</v>
      </c>
      <c r="B219" s="2" t="n">
        <v>2023</v>
      </c>
      <c r="C219" s="2" t="s">
        <v>389</v>
      </c>
      <c r="D219" s="2" t="s">
        <v>161</v>
      </c>
      <c r="E219" s="2" t="s">
        <v>34</v>
      </c>
      <c r="F219" s="2" t="n">
        <v>1</v>
      </c>
      <c r="G219" s="2" t="s">
        <v>35</v>
      </c>
      <c r="H219" s="2"/>
      <c r="I219" s="2" t="n">
        <v>2</v>
      </c>
      <c r="J219" s="2" t="n">
        <v>0</v>
      </c>
      <c r="K219" s="2" t="s">
        <v>36</v>
      </c>
      <c r="L219" s="2"/>
      <c r="M219" s="2"/>
      <c r="N219" s="2" t="s">
        <v>37</v>
      </c>
      <c r="O219" s="3" t="s">
        <v>38</v>
      </c>
      <c r="P219" s="2" t="s">
        <v>594</v>
      </c>
      <c r="Q219" s="2" t="s">
        <v>595</v>
      </c>
      <c r="R219" s="2" t="s">
        <v>1534</v>
      </c>
      <c r="S219" s="2" t="s">
        <v>1535</v>
      </c>
      <c r="T219" s="3" t="s">
        <v>1536</v>
      </c>
      <c r="U219" s="3" t="s">
        <v>1537</v>
      </c>
      <c r="V219" s="3" t="s">
        <v>1538</v>
      </c>
      <c r="W219" s="3" t="s">
        <v>1539</v>
      </c>
      <c r="X219" s="2" t="n">
        <v>7</v>
      </c>
      <c r="Y219" s="2" t="n">
        <v>3</v>
      </c>
      <c r="Z219" s="2" t="s">
        <v>47</v>
      </c>
      <c r="AA219" s="3"/>
      <c r="AB219" s="5"/>
      <c r="AC219" s="5"/>
      <c r="AD219" s="3"/>
      <c r="AE219" s="3" t="s">
        <v>1540</v>
      </c>
    </row>
    <row r="220" customFormat="false" ht="60" hidden="false" customHeight="true" outlineLevel="0" collapsed="false">
      <c r="A220" s="2" t="s">
        <v>1541</v>
      </c>
      <c r="B220" s="2" t="n">
        <v>2023</v>
      </c>
      <c r="C220" s="2" t="s">
        <v>389</v>
      </c>
      <c r="D220" s="2" t="s">
        <v>161</v>
      </c>
      <c r="E220" s="2" t="s">
        <v>34</v>
      </c>
      <c r="F220" s="2" t="n">
        <v>1</v>
      </c>
      <c r="G220" s="2" t="s">
        <v>52</v>
      </c>
      <c r="H220" s="2"/>
      <c r="I220" s="2" t="n">
        <v>4</v>
      </c>
      <c r="J220" s="2" t="n">
        <v>1</v>
      </c>
      <c r="K220" s="2" t="s">
        <v>280</v>
      </c>
      <c r="L220" s="2" t="s">
        <v>86</v>
      </c>
      <c r="M220" s="2"/>
      <c r="N220" s="2"/>
      <c r="O220" s="3"/>
      <c r="P220" s="2" t="s">
        <v>594</v>
      </c>
      <c r="Q220" s="2" t="s">
        <v>595</v>
      </c>
      <c r="R220" s="2" t="s">
        <v>596</v>
      </c>
      <c r="S220" s="2" t="s">
        <v>597</v>
      </c>
      <c r="T220" s="3" t="s">
        <v>1542</v>
      </c>
      <c r="U220" s="3" t="s">
        <v>1537</v>
      </c>
      <c r="V220" s="3" t="s">
        <v>1543</v>
      </c>
      <c r="W220" s="3" t="s">
        <v>1544</v>
      </c>
      <c r="X220" s="2" t="n">
        <v>7</v>
      </c>
      <c r="Y220" s="2" t="n">
        <v>3</v>
      </c>
      <c r="Z220" s="2" t="s">
        <v>47</v>
      </c>
      <c r="AA220" s="3"/>
      <c r="AB220" s="5"/>
      <c r="AC220" s="5"/>
      <c r="AD220" s="3"/>
      <c r="AE220" s="3" t="s">
        <v>1545</v>
      </c>
    </row>
    <row r="221" customFormat="false" ht="60" hidden="false" customHeight="true" outlineLevel="0" collapsed="false">
      <c r="A221" s="2" t="s">
        <v>1546</v>
      </c>
      <c r="B221" s="2" t="n">
        <v>2023</v>
      </c>
      <c r="C221" s="2" t="s">
        <v>389</v>
      </c>
      <c r="D221" s="2" t="s">
        <v>161</v>
      </c>
      <c r="E221" s="2" t="s">
        <v>34</v>
      </c>
      <c r="F221" s="2" t="n">
        <v>1</v>
      </c>
      <c r="G221" s="2" t="s">
        <v>63</v>
      </c>
      <c r="H221" s="2"/>
      <c r="I221" s="2" t="n">
        <v>2</v>
      </c>
      <c r="J221" s="2" t="n">
        <v>0</v>
      </c>
      <c r="K221" s="2" t="s">
        <v>64</v>
      </c>
      <c r="L221" s="2"/>
      <c r="M221" s="2"/>
      <c r="N221" s="2"/>
      <c r="O221" s="3"/>
      <c r="P221" s="2" t="s">
        <v>74</v>
      </c>
      <c r="Q221" s="2" t="s">
        <v>75</v>
      </c>
      <c r="R221" s="2" t="s">
        <v>239</v>
      </c>
      <c r="S221" s="2" t="s">
        <v>77</v>
      </c>
      <c r="T221" s="3" t="s">
        <v>1547</v>
      </c>
      <c r="U221" s="3" t="s">
        <v>1537</v>
      </c>
      <c r="V221" s="3" t="s">
        <v>1548</v>
      </c>
      <c r="W221" s="3" t="s">
        <v>1549</v>
      </c>
      <c r="X221" s="2" t="n">
        <v>7</v>
      </c>
      <c r="Y221" s="2" t="n">
        <v>3</v>
      </c>
      <c r="Z221" s="2" t="s">
        <v>47</v>
      </c>
      <c r="AA221" s="3"/>
      <c r="AB221" s="5"/>
      <c r="AC221" s="5"/>
      <c r="AD221" s="3" t="s">
        <v>1550</v>
      </c>
      <c r="AE221" s="3" t="s">
        <v>1551</v>
      </c>
    </row>
    <row r="222" customFormat="false" ht="60" hidden="false" customHeight="true" outlineLevel="0" collapsed="false">
      <c r="A222" s="2" t="s">
        <v>1552</v>
      </c>
      <c r="B222" s="2" t="n">
        <v>2023</v>
      </c>
      <c r="C222" s="2" t="s">
        <v>389</v>
      </c>
      <c r="D222" s="2" t="s">
        <v>161</v>
      </c>
      <c r="E222" s="2" t="s">
        <v>34</v>
      </c>
      <c r="F222" s="2" t="n">
        <v>1</v>
      </c>
      <c r="G222" s="2" t="s">
        <v>72</v>
      </c>
      <c r="H222" s="2"/>
      <c r="I222" s="2" t="n">
        <v>6</v>
      </c>
      <c r="J222" s="2" t="n">
        <v>2</v>
      </c>
      <c r="K222" s="2" t="s">
        <v>813</v>
      </c>
      <c r="L222" s="2"/>
      <c r="M222" s="2"/>
      <c r="N222" s="2"/>
      <c r="O222" s="3"/>
      <c r="P222" s="2" t="s">
        <v>193</v>
      </c>
      <c r="Q222" s="2" t="s">
        <v>194</v>
      </c>
      <c r="R222" s="2" t="s">
        <v>1553</v>
      </c>
      <c r="S222" s="2" t="s">
        <v>1158</v>
      </c>
      <c r="T222" s="3" t="s">
        <v>1554</v>
      </c>
      <c r="U222" s="3" t="s">
        <v>1537</v>
      </c>
      <c r="V222" s="3" t="s">
        <v>1555</v>
      </c>
      <c r="W222" s="3" t="s">
        <v>1556</v>
      </c>
      <c r="X222" s="2" t="n">
        <v>8</v>
      </c>
      <c r="Y222" s="2" t="n">
        <v>3</v>
      </c>
      <c r="Z222" s="2" t="s">
        <v>47</v>
      </c>
      <c r="AA222" s="3"/>
      <c r="AB222" s="5"/>
      <c r="AC222" s="5"/>
      <c r="AD222" s="3"/>
      <c r="AE222" s="3" t="s">
        <v>1557</v>
      </c>
    </row>
    <row r="223" customFormat="false" ht="60" hidden="false" customHeight="true" outlineLevel="0" collapsed="false">
      <c r="A223" s="2" t="s">
        <v>1558</v>
      </c>
      <c r="B223" s="2" t="n">
        <v>2023</v>
      </c>
      <c r="C223" s="2" t="s">
        <v>389</v>
      </c>
      <c r="D223" s="2" t="s">
        <v>161</v>
      </c>
      <c r="E223" s="2" t="s">
        <v>34</v>
      </c>
      <c r="F223" s="2" t="n">
        <v>1</v>
      </c>
      <c r="G223" s="2" t="s">
        <v>84</v>
      </c>
      <c r="H223" s="2"/>
      <c r="I223" s="2" t="n">
        <v>6</v>
      </c>
      <c r="J223" s="2" t="n">
        <v>2</v>
      </c>
      <c r="K223" s="2" t="s">
        <v>813</v>
      </c>
      <c r="L223" s="2"/>
      <c r="M223" s="2"/>
      <c r="N223" s="2"/>
      <c r="O223" s="3"/>
      <c r="P223" s="2" t="s">
        <v>594</v>
      </c>
      <c r="Q223" s="2" t="s">
        <v>595</v>
      </c>
      <c r="R223" s="2" t="s">
        <v>1242</v>
      </c>
      <c r="S223" s="2" t="s">
        <v>1243</v>
      </c>
      <c r="T223" s="3" t="s">
        <v>1559</v>
      </c>
      <c r="U223" s="3" t="s">
        <v>1537</v>
      </c>
      <c r="V223" s="3" t="s">
        <v>1560</v>
      </c>
      <c r="W223" s="3" t="s">
        <v>1561</v>
      </c>
      <c r="X223" s="2" t="n">
        <v>8</v>
      </c>
      <c r="Y223" s="2" t="n">
        <v>3</v>
      </c>
      <c r="Z223" s="2" t="s">
        <v>47</v>
      </c>
      <c r="AA223" s="3"/>
      <c r="AB223" s="5"/>
      <c r="AC223" s="5"/>
      <c r="AD223" s="3" t="s">
        <v>1562</v>
      </c>
      <c r="AE223" s="3" t="s">
        <v>1563</v>
      </c>
    </row>
    <row r="224" customFormat="false" ht="60" hidden="false" customHeight="true" outlineLevel="0" collapsed="false">
      <c r="A224" s="2" t="s">
        <v>1564</v>
      </c>
      <c r="B224" s="2" t="n">
        <v>2023</v>
      </c>
      <c r="C224" s="2" t="s">
        <v>389</v>
      </c>
      <c r="D224" s="2" t="s">
        <v>161</v>
      </c>
      <c r="E224" s="2" t="s">
        <v>104</v>
      </c>
      <c r="F224" s="2" t="n">
        <v>2</v>
      </c>
      <c r="G224" s="2" t="s">
        <v>35</v>
      </c>
      <c r="H224" s="2" t="s">
        <v>1199</v>
      </c>
      <c r="I224" s="2" t="n">
        <v>8</v>
      </c>
      <c r="J224" s="2" t="n">
        <v>2</v>
      </c>
      <c r="K224" s="2" t="s">
        <v>64</v>
      </c>
      <c r="L224" s="2" t="s">
        <v>86</v>
      </c>
      <c r="M224" s="2" t="s">
        <v>37</v>
      </c>
      <c r="N224" s="2"/>
      <c r="O224" s="3" t="s">
        <v>73</v>
      </c>
      <c r="P224" s="2" t="s">
        <v>185</v>
      </c>
      <c r="Q224" s="2" t="s">
        <v>186</v>
      </c>
      <c r="R224" s="2" t="s">
        <v>1565</v>
      </c>
      <c r="S224" s="2" t="s">
        <v>1566</v>
      </c>
      <c r="T224" s="3" t="s">
        <v>1567</v>
      </c>
      <c r="U224" s="3"/>
      <c r="V224" s="3" t="s">
        <v>1568</v>
      </c>
      <c r="W224" s="3" t="s">
        <v>1569</v>
      </c>
      <c r="X224" s="2" t="n">
        <v>9</v>
      </c>
      <c r="Y224" s="2" t="n">
        <v>4</v>
      </c>
      <c r="Z224" s="2" t="s">
        <v>47</v>
      </c>
      <c r="AA224" s="3"/>
      <c r="AB224" s="5"/>
      <c r="AC224" s="5"/>
      <c r="AD224" s="3"/>
      <c r="AE224" s="3" t="s">
        <v>1570</v>
      </c>
    </row>
    <row r="225" customFormat="false" ht="60" hidden="false" customHeight="true" outlineLevel="0" collapsed="false">
      <c r="A225" s="2" t="s">
        <v>1571</v>
      </c>
      <c r="B225" s="2" t="n">
        <v>2023</v>
      </c>
      <c r="C225" s="2" t="s">
        <v>389</v>
      </c>
      <c r="D225" s="2" t="s">
        <v>161</v>
      </c>
      <c r="E225" s="2" t="s">
        <v>104</v>
      </c>
      <c r="F225" s="2" t="n">
        <v>2</v>
      </c>
      <c r="G225" s="2" t="s">
        <v>52</v>
      </c>
      <c r="H225" s="2" t="s">
        <v>1199</v>
      </c>
      <c r="I225" s="2" t="n">
        <v>12</v>
      </c>
      <c r="J225" s="2" t="n">
        <v>4</v>
      </c>
      <c r="K225" s="2" t="s">
        <v>813</v>
      </c>
      <c r="L225" s="2"/>
      <c r="M225" s="2"/>
      <c r="N225" s="2"/>
      <c r="O225" s="3" t="s">
        <v>308</v>
      </c>
      <c r="P225" s="2" t="s">
        <v>124</v>
      </c>
      <c r="Q225" s="2" t="s">
        <v>125</v>
      </c>
      <c r="R225" s="2" t="s">
        <v>126</v>
      </c>
      <c r="S225" s="2" t="s">
        <v>233</v>
      </c>
      <c r="T225" s="3" t="s">
        <v>984</v>
      </c>
      <c r="U225" s="3"/>
      <c r="V225" s="3" t="s">
        <v>1572</v>
      </c>
      <c r="W225" s="3" t="s">
        <v>1573</v>
      </c>
      <c r="X225" s="2" t="n">
        <v>10</v>
      </c>
      <c r="Y225" s="2" t="n">
        <v>4</v>
      </c>
      <c r="Z225" s="2" t="s">
        <v>47</v>
      </c>
      <c r="AA225" s="3"/>
      <c r="AB225" s="5"/>
      <c r="AC225" s="5"/>
      <c r="AD225" s="3" t="s">
        <v>1574</v>
      </c>
      <c r="AE225" s="3" t="s">
        <v>1575</v>
      </c>
    </row>
    <row r="226" customFormat="false" ht="60" hidden="false" customHeight="true" outlineLevel="0" collapsed="false">
      <c r="A226" s="2" t="s">
        <v>1576</v>
      </c>
      <c r="B226" s="2" t="n">
        <v>2023</v>
      </c>
      <c r="C226" s="2" t="s">
        <v>389</v>
      </c>
      <c r="D226" s="2" t="s">
        <v>161</v>
      </c>
      <c r="E226" s="2" t="s">
        <v>104</v>
      </c>
      <c r="F226" s="2" t="n">
        <v>3</v>
      </c>
      <c r="G226" s="2" t="s">
        <v>35</v>
      </c>
      <c r="H226" s="2" t="s">
        <v>1199</v>
      </c>
      <c r="I226" s="2" t="n">
        <v>8</v>
      </c>
      <c r="J226" s="2" t="n">
        <v>2</v>
      </c>
      <c r="K226" s="2" t="s">
        <v>64</v>
      </c>
      <c r="L226" s="2" t="s">
        <v>86</v>
      </c>
      <c r="M226" s="2"/>
      <c r="N226" s="2"/>
      <c r="O226" s="3" t="s">
        <v>527</v>
      </c>
      <c r="P226" s="2" t="s">
        <v>151</v>
      </c>
      <c r="Q226" s="2" t="s">
        <v>152</v>
      </c>
      <c r="R226" s="2" t="s">
        <v>287</v>
      </c>
      <c r="S226" s="2" t="s">
        <v>1577</v>
      </c>
      <c r="T226" s="3" t="s">
        <v>1578</v>
      </c>
      <c r="U226" s="3"/>
      <c r="V226" s="3" t="s">
        <v>1579</v>
      </c>
      <c r="W226" s="3" t="s">
        <v>1580</v>
      </c>
      <c r="X226" s="2" t="n">
        <v>11</v>
      </c>
      <c r="Y226" s="2" t="n">
        <v>4</v>
      </c>
      <c r="Z226" s="2" t="s">
        <v>47</v>
      </c>
      <c r="AA226" s="3"/>
      <c r="AB226" s="5"/>
      <c r="AC226" s="5"/>
      <c r="AD226" s="3"/>
      <c r="AE226" s="3" t="s">
        <v>1581</v>
      </c>
    </row>
    <row r="227" customFormat="false" ht="60" hidden="false" customHeight="true" outlineLevel="0" collapsed="false">
      <c r="A227" s="2" t="s">
        <v>1582</v>
      </c>
      <c r="B227" s="2" t="n">
        <v>2023</v>
      </c>
      <c r="C227" s="2" t="s">
        <v>389</v>
      </c>
      <c r="D227" s="2" t="s">
        <v>161</v>
      </c>
      <c r="E227" s="2" t="s">
        <v>104</v>
      </c>
      <c r="F227" s="2" t="n">
        <v>3</v>
      </c>
      <c r="G227" s="2" t="s">
        <v>52</v>
      </c>
      <c r="H227" s="2" t="s">
        <v>1199</v>
      </c>
      <c r="I227" s="2" t="n">
        <v>12</v>
      </c>
      <c r="J227" s="2" t="n">
        <v>4</v>
      </c>
      <c r="K227" s="2" t="s">
        <v>813</v>
      </c>
      <c r="L227" s="2"/>
      <c r="M227" s="2"/>
      <c r="N227" s="2"/>
      <c r="O227" s="3" t="s">
        <v>527</v>
      </c>
      <c r="P227" s="2" t="s">
        <v>151</v>
      </c>
      <c r="Q227" s="2" t="s">
        <v>152</v>
      </c>
      <c r="R227" s="2" t="s">
        <v>950</v>
      </c>
      <c r="S227" s="2" t="s">
        <v>951</v>
      </c>
      <c r="T227" s="3" t="s">
        <v>1583</v>
      </c>
      <c r="U227" s="3"/>
      <c r="V227" s="3" t="s">
        <v>1584</v>
      </c>
      <c r="W227" s="3" t="s">
        <v>1585</v>
      </c>
      <c r="X227" s="2" t="n">
        <v>12</v>
      </c>
      <c r="Y227" s="2" t="n">
        <v>4</v>
      </c>
      <c r="Z227" s="2" t="s">
        <v>47</v>
      </c>
      <c r="AA227" s="3"/>
      <c r="AB227" s="5"/>
      <c r="AC227" s="5"/>
      <c r="AD227" s="3"/>
      <c r="AE227" s="3" t="s">
        <v>1586</v>
      </c>
    </row>
    <row r="228" customFormat="false" ht="60" hidden="false" customHeight="true" outlineLevel="0" collapsed="false">
      <c r="A228" s="2" t="s">
        <v>1587</v>
      </c>
      <c r="B228" s="2" t="n">
        <v>2023</v>
      </c>
      <c r="C228" s="2" t="s">
        <v>389</v>
      </c>
      <c r="D228" s="2" t="s">
        <v>161</v>
      </c>
      <c r="E228" s="2" t="s">
        <v>1230</v>
      </c>
      <c r="F228" s="2" t="n">
        <v>4</v>
      </c>
      <c r="G228" s="2" t="s">
        <v>35</v>
      </c>
      <c r="H228" s="2" t="s">
        <v>1231</v>
      </c>
      <c r="I228" s="2" t="n">
        <v>8</v>
      </c>
      <c r="J228" s="2" t="n">
        <v>2</v>
      </c>
      <c r="K228" s="2" t="s">
        <v>64</v>
      </c>
      <c r="L228" s="2" t="s">
        <v>86</v>
      </c>
      <c r="M228" s="2"/>
      <c r="N228" s="2"/>
      <c r="O228" s="3"/>
      <c r="P228" s="2" t="s">
        <v>54</v>
      </c>
      <c r="Q228" s="2" t="s">
        <v>55</v>
      </c>
      <c r="R228" s="2" t="s">
        <v>1143</v>
      </c>
      <c r="S228" s="2" t="s">
        <v>1144</v>
      </c>
      <c r="T228" s="3" t="s">
        <v>1588</v>
      </c>
      <c r="U228" s="3"/>
      <c r="V228" s="3" t="s">
        <v>1589</v>
      </c>
      <c r="W228" s="3" t="s">
        <v>1590</v>
      </c>
      <c r="X228" s="2" t="n">
        <v>13</v>
      </c>
      <c r="Y228" s="2" t="n">
        <v>4</v>
      </c>
      <c r="Z228" s="2" t="s">
        <v>47</v>
      </c>
      <c r="AA228" s="3"/>
      <c r="AB228" s="5"/>
      <c r="AC228" s="5"/>
      <c r="AD228" s="3"/>
      <c r="AE228" s="3" t="s">
        <v>1591</v>
      </c>
    </row>
    <row r="229" customFormat="false" ht="60" hidden="false" customHeight="true" outlineLevel="0" collapsed="false">
      <c r="A229" s="2" t="s">
        <v>1592</v>
      </c>
      <c r="B229" s="2" t="n">
        <v>2023</v>
      </c>
      <c r="C229" s="2" t="s">
        <v>389</v>
      </c>
      <c r="D229" s="2" t="s">
        <v>161</v>
      </c>
      <c r="E229" s="2" t="s">
        <v>1230</v>
      </c>
      <c r="F229" s="2" t="n">
        <v>4</v>
      </c>
      <c r="G229" s="2" t="s">
        <v>52</v>
      </c>
      <c r="H229" s="2" t="s">
        <v>1231</v>
      </c>
      <c r="I229" s="2" t="n">
        <v>12</v>
      </c>
      <c r="J229" s="2" t="n">
        <v>4</v>
      </c>
      <c r="K229" s="2" t="s">
        <v>813</v>
      </c>
      <c r="L229" s="2"/>
      <c r="M229" s="2"/>
      <c r="N229" s="2"/>
      <c r="O229" s="3" t="s">
        <v>748</v>
      </c>
      <c r="P229" s="2" t="s">
        <v>54</v>
      </c>
      <c r="Q229" s="2" t="s">
        <v>55</v>
      </c>
      <c r="R229" s="2" t="s">
        <v>56</v>
      </c>
      <c r="S229" s="2" t="s">
        <v>1593</v>
      </c>
      <c r="T229" s="3" t="s">
        <v>1594</v>
      </c>
      <c r="U229" s="3"/>
      <c r="V229" s="3" t="s">
        <v>1595</v>
      </c>
      <c r="W229" s="3" t="s">
        <v>1596</v>
      </c>
      <c r="X229" s="2" t="n">
        <v>14</v>
      </c>
      <c r="Y229" s="2" t="n">
        <v>4</v>
      </c>
      <c r="Z229" s="2" t="s">
        <v>47</v>
      </c>
      <c r="AA229" s="3"/>
      <c r="AB229" s="5"/>
      <c r="AC229" s="5"/>
      <c r="AD229" s="3" t="s">
        <v>1597</v>
      </c>
      <c r="AE229" s="3" t="s">
        <v>1598</v>
      </c>
    </row>
    <row r="230" customFormat="false" ht="60" hidden="false" customHeight="true" outlineLevel="0" collapsed="false">
      <c r="A230" s="2" t="s">
        <v>1599</v>
      </c>
      <c r="B230" s="2" t="n">
        <v>2023</v>
      </c>
      <c r="C230" s="2" t="s">
        <v>389</v>
      </c>
      <c r="D230" s="2" t="s">
        <v>161</v>
      </c>
      <c r="E230" s="2" t="s">
        <v>1230</v>
      </c>
      <c r="F230" s="2" t="n">
        <v>5</v>
      </c>
      <c r="G230" s="2" t="s">
        <v>35</v>
      </c>
      <c r="H230" s="2" t="s">
        <v>1231</v>
      </c>
      <c r="I230" s="2" t="n">
        <v>8</v>
      </c>
      <c r="J230" s="2" t="n">
        <v>2</v>
      </c>
      <c r="K230" s="2" t="s">
        <v>64</v>
      </c>
      <c r="L230" s="2" t="s">
        <v>86</v>
      </c>
      <c r="M230" s="2"/>
      <c r="N230" s="2"/>
      <c r="O230" s="3"/>
      <c r="P230" s="2" t="s">
        <v>133</v>
      </c>
      <c r="Q230" s="2" t="s">
        <v>134</v>
      </c>
      <c r="R230" s="2" t="s">
        <v>135</v>
      </c>
      <c r="S230" s="2" t="s">
        <v>1600</v>
      </c>
      <c r="T230" s="3" t="s">
        <v>1601</v>
      </c>
      <c r="U230" s="3"/>
      <c r="V230" s="3" t="s">
        <v>1602</v>
      </c>
      <c r="W230" s="3" t="s">
        <v>1603</v>
      </c>
      <c r="X230" s="2" t="n">
        <v>15</v>
      </c>
      <c r="Y230" s="2" t="n">
        <v>4</v>
      </c>
      <c r="Z230" s="2" t="s">
        <v>47</v>
      </c>
      <c r="AA230" s="3"/>
      <c r="AB230" s="5"/>
      <c r="AC230" s="5"/>
      <c r="AD230" s="3"/>
      <c r="AE230" s="3" t="s">
        <v>1604</v>
      </c>
    </row>
    <row r="231" customFormat="false" ht="60" hidden="false" customHeight="true" outlineLevel="0" collapsed="false">
      <c r="A231" s="2" t="s">
        <v>1605</v>
      </c>
      <c r="B231" s="2" t="n">
        <v>2023</v>
      </c>
      <c r="C231" s="2" t="s">
        <v>389</v>
      </c>
      <c r="D231" s="2" t="s">
        <v>161</v>
      </c>
      <c r="E231" s="2" t="s">
        <v>1230</v>
      </c>
      <c r="F231" s="2" t="n">
        <v>5</v>
      </c>
      <c r="G231" s="2" t="s">
        <v>52</v>
      </c>
      <c r="H231" s="2" t="s">
        <v>1231</v>
      </c>
      <c r="I231" s="2" t="n">
        <v>12</v>
      </c>
      <c r="J231" s="2" t="n">
        <v>4</v>
      </c>
      <c r="K231" s="2" t="s">
        <v>813</v>
      </c>
      <c r="L231" s="2"/>
      <c r="M231" s="2"/>
      <c r="N231" s="2"/>
      <c r="O231" s="3"/>
      <c r="P231" s="2" t="s">
        <v>193</v>
      </c>
      <c r="Q231" s="2" t="s">
        <v>194</v>
      </c>
      <c r="R231" s="2" t="s">
        <v>528</v>
      </c>
      <c r="S231" s="2" t="s">
        <v>529</v>
      </c>
      <c r="T231" s="3" t="s">
        <v>1606</v>
      </c>
      <c r="U231" s="3"/>
      <c r="V231" s="3" t="s">
        <v>1607</v>
      </c>
      <c r="W231" s="3" t="s">
        <v>1608</v>
      </c>
      <c r="X231" s="2" t="n">
        <v>16</v>
      </c>
      <c r="Y231" s="2" t="n">
        <v>4</v>
      </c>
      <c r="Z231" s="2" t="s">
        <v>47</v>
      </c>
      <c r="AA231" s="3"/>
      <c r="AB231" s="5"/>
      <c r="AC231" s="5"/>
      <c r="AD231" s="3"/>
      <c r="AE231" s="3" t="s">
        <v>1609</v>
      </c>
    </row>
    <row r="232" customFormat="false" ht="60" hidden="false" customHeight="true" outlineLevel="0" collapsed="false">
      <c r="A232" s="2" t="s">
        <v>1610</v>
      </c>
      <c r="B232" s="2" t="n">
        <v>2023</v>
      </c>
      <c r="C232" s="2" t="s">
        <v>389</v>
      </c>
      <c r="D232" s="2" t="s">
        <v>33</v>
      </c>
      <c r="E232" s="2" t="s">
        <v>34</v>
      </c>
      <c r="F232" s="2" t="n">
        <v>1</v>
      </c>
      <c r="G232" s="2" t="s">
        <v>35</v>
      </c>
      <c r="H232" s="2"/>
      <c r="I232" s="2" t="n">
        <v>2</v>
      </c>
      <c r="J232" s="2" t="n">
        <v>0</v>
      </c>
      <c r="K232" s="2" t="s">
        <v>36</v>
      </c>
      <c r="L232" s="2"/>
      <c r="M232" s="2"/>
      <c r="N232" s="2" t="s">
        <v>37</v>
      </c>
      <c r="O232" s="3" t="s">
        <v>38</v>
      </c>
      <c r="P232" s="2" t="s">
        <v>185</v>
      </c>
      <c r="Q232" s="2" t="s">
        <v>186</v>
      </c>
      <c r="R232" s="2" t="s">
        <v>317</v>
      </c>
      <c r="S232" s="2" t="s">
        <v>318</v>
      </c>
      <c r="T232" s="3" t="s">
        <v>1611</v>
      </c>
      <c r="U232" s="3" t="s">
        <v>1612</v>
      </c>
      <c r="V232" s="3" t="s">
        <v>1613</v>
      </c>
      <c r="W232" s="3" t="s">
        <v>1614</v>
      </c>
      <c r="X232" s="2" t="n">
        <v>7</v>
      </c>
      <c r="Y232" s="2" t="n">
        <v>3</v>
      </c>
      <c r="Z232" s="2" t="s">
        <v>47</v>
      </c>
      <c r="AA232" s="3"/>
      <c r="AB232" s="5"/>
      <c r="AC232" s="5"/>
      <c r="AD232" s="3" t="s">
        <v>1615</v>
      </c>
      <c r="AE232" s="3" t="s">
        <v>1616</v>
      </c>
    </row>
    <row r="233" customFormat="false" ht="60" hidden="false" customHeight="true" outlineLevel="0" collapsed="false">
      <c r="A233" s="2" t="s">
        <v>1617</v>
      </c>
      <c r="B233" s="2" t="n">
        <v>2023</v>
      </c>
      <c r="C233" s="2" t="s">
        <v>389</v>
      </c>
      <c r="D233" s="2" t="s">
        <v>33</v>
      </c>
      <c r="E233" s="2" t="s">
        <v>34</v>
      </c>
      <c r="F233" s="2" t="n">
        <v>1</v>
      </c>
      <c r="G233" s="2" t="s">
        <v>52</v>
      </c>
      <c r="H233" s="2"/>
      <c r="I233" s="2" t="n">
        <v>2</v>
      </c>
      <c r="J233" s="2" t="n">
        <v>0</v>
      </c>
      <c r="K233" s="2" t="s">
        <v>64</v>
      </c>
      <c r="L233" s="2"/>
      <c r="M233" s="2"/>
      <c r="N233" s="2"/>
      <c r="O233" s="3"/>
      <c r="P233" s="2" t="s">
        <v>142</v>
      </c>
      <c r="Q233" s="2" t="s">
        <v>143</v>
      </c>
      <c r="R233" s="2" t="s">
        <v>144</v>
      </c>
      <c r="S233" s="2" t="s">
        <v>1618</v>
      </c>
      <c r="T233" s="3" t="s">
        <v>1619</v>
      </c>
      <c r="U233" s="3" t="s">
        <v>1612</v>
      </c>
      <c r="V233" s="3" t="s">
        <v>1620</v>
      </c>
      <c r="W233" s="2" t="s">
        <v>1621</v>
      </c>
      <c r="X233" s="2" t="n">
        <v>7</v>
      </c>
      <c r="Y233" s="2" t="n">
        <v>3</v>
      </c>
      <c r="Z233" s="2" t="s">
        <v>47</v>
      </c>
      <c r="AA233" s="3"/>
      <c r="AB233" s="5"/>
      <c r="AC233" s="5"/>
      <c r="AD233" s="3"/>
      <c r="AE233" s="3" t="s">
        <v>1622</v>
      </c>
    </row>
    <row r="234" customFormat="false" ht="60" hidden="false" customHeight="true" outlineLevel="0" collapsed="false">
      <c r="A234" s="2" t="s">
        <v>1623</v>
      </c>
      <c r="B234" s="2" t="n">
        <v>2023</v>
      </c>
      <c r="C234" s="2" t="s">
        <v>389</v>
      </c>
      <c r="D234" s="2" t="s">
        <v>33</v>
      </c>
      <c r="E234" s="2" t="s">
        <v>34</v>
      </c>
      <c r="F234" s="2" t="n">
        <v>1</v>
      </c>
      <c r="G234" s="2" t="s">
        <v>63</v>
      </c>
      <c r="H234" s="2"/>
      <c r="I234" s="2" t="n">
        <v>4</v>
      </c>
      <c r="J234" s="2" t="n">
        <v>1</v>
      </c>
      <c r="K234" s="2" t="s">
        <v>64</v>
      </c>
      <c r="L234" s="2" t="s">
        <v>86</v>
      </c>
      <c r="M234" s="2" t="s">
        <v>37</v>
      </c>
      <c r="N234" s="2"/>
      <c r="O234" s="3" t="s">
        <v>73</v>
      </c>
      <c r="P234" s="2" t="s">
        <v>142</v>
      </c>
      <c r="Q234" s="2" t="s">
        <v>143</v>
      </c>
      <c r="R234" s="2" t="s">
        <v>144</v>
      </c>
      <c r="S234" s="2" t="s">
        <v>1028</v>
      </c>
      <c r="T234" s="3" t="s">
        <v>1624</v>
      </c>
      <c r="U234" s="3" t="s">
        <v>1612</v>
      </c>
      <c r="V234" s="3" t="s">
        <v>1625</v>
      </c>
      <c r="W234" s="3" t="s">
        <v>1626</v>
      </c>
      <c r="X234" s="2" t="n">
        <v>8</v>
      </c>
      <c r="Y234" s="2" t="n">
        <v>3</v>
      </c>
      <c r="Z234" s="2" t="s">
        <v>47</v>
      </c>
      <c r="AA234" s="3"/>
      <c r="AB234" s="5"/>
      <c r="AC234" s="5"/>
      <c r="AD234" s="3"/>
      <c r="AE234" s="3" t="s">
        <v>1627</v>
      </c>
    </row>
    <row r="235" customFormat="false" ht="60" hidden="false" customHeight="true" outlineLevel="0" collapsed="false">
      <c r="A235" s="2" t="s">
        <v>1628</v>
      </c>
      <c r="B235" s="2" t="n">
        <v>2023</v>
      </c>
      <c r="C235" s="2" t="s">
        <v>389</v>
      </c>
      <c r="D235" s="2" t="s">
        <v>33</v>
      </c>
      <c r="E235" s="2" t="s">
        <v>34</v>
      </c>
      <c r="F235" s="2" t="n">
        <v>1</v>
      </c>
      <c r="G235" s="2" t="s">
        <v>72</v>
      </c>
      <c r="H235" s="2"/>
      <c r="I235" s="2" t="n">
        <v>6</v>
      </c>
      <c r="J235" s="2" t="n">
        <v>2</v>
      </c>
      <c r="K235" s="2" t="s">
        <v>64</v>
      </c>
      <c r="L235" s="2" t="s">
        <v>86</v>
      </c>
      <c r="M235" s="2"/>
      <c r="N235" s="2"/>
      <c r="O235" s="3" t="s">
        <v>308</v>
      </c>
      <c r="P235" s="2" t="s">
        <v>1266</v>
      </c>
      <c r="Q235" s="2" t="s">
        <v>1267</v>
      </c>
      <c r="R235" s="2" t="s">
        <v>1268</v>
      </c>
      <c r="S235" s="2" t="s">
        <v>1289</v>
      </c>
      <c r="T235" s="3" t="s">
        <v>1629</v>
      </c>
      <c r="U235" s="3" t="s">
        <v>1612</v>
      </c>
      <c r="V235" s="3" t="s">
        <v>1630</v>
      </c>
      <c r="W235" s="3" t="s">
        <v>1631</v>
      </c>
      <c r="X235" s="2" t="n">
        <v>9</v>
      </c>
      <c r="Y235" s="2" t="n">
        <v>3</v>
      </c>
      <c r="Z235" s="2" t="s">
        <v>47</v>
      </c>
      <c r="AA235" s="3"/>
      <c r="AB235" s="5"/>
      <c r="AC235" s="5"/>
      <c r="AD235" s="3"/>
      <c r="AE235" s="3" t="s">
        <v>1632</v>
      </c>
    </row>
    <row r="236" customFormat="false" ht="60" hidden="false" customHeight="true" outlineLevel="0" collapsed="false">
      <c r="A236" s="2" t="s">
        <v>1633</v>
      </c>
      <c r="B236" s="2" t="n">
        <v>2023</v>
      </c>
      <c r="C236" s="2" t="s">
        <v>389</v>
      </c>
      <c r="D236" s="2" t="s">
        <v>33</v>
      </c>
      <c r="E236" s="2" t="s">
        <v>34</v>
      </c>
      <c r="F236" s="2" t="n">
        <v>1</v>
      </c>
      <c r="G236" s="2" t="s">
        <v>84</v>
      </c>
      <c r="H236" s="2"/>
      <c r="I236" s="2" t="n">
        <v>6</v>
      </c>
      <c r="J236" s="2" t="n">
        <v>2</v>
      </c>
      <c r="K236" s="2" t="s">
        <v>813</v>
      </c>
      <c r="L236" s="2"/>
      <c r="M236" s="2"/>
      <c r="N236" s="2"/>
      <c r="O236" s="3" t="s">
        <v>308</v>
      </c>
      <c r="P236" s="2" t="s">
        <v>594</v>
      </c>
      <c r="Q236" s="2" t="s">
        <v>595</v>
      </c>
      <c r="R236" s="2" t="s">
        <v>1634</v>
      </c>
      <c r="S236" s="2" t="s">
        <v>1635</v>
      </c>
      <c r="T236" s="3" t="s">
        <v>1636</v>
      </c>
      <c r="U236" s="3" t="s">
        <v>1612</v>
      </c>
      <c r="V236" s="3" t="s">
        <v>1637</v>
      </c>
      <c r="W236" s="3" t="s">
        <v>1638</v>
      </c>
      <c r="X236" s="2" t="n">
        <v>10</v>
      </c>
      <c r="Y236" s="2" t="n">
        <v>3</v>
      </c>
      <c r="Z236" s="2" t="s">
        <v>47</v>
      </c>
      <c r="AA236" s="3"/>
      <c r="AB236" s="5"/>
      <c r="AC236" s="5"/>
      <c r="AD236" s="3"/>
      <c r="AE236" s="3" t="s">
        <v>1639</v>
      </c>
    </row>
    <row r="237" customFormat="false" ht="60" hidden="false" customHeight="true" outlineLevel="0" collapsed="false">
      <c r="A237" s="2" t="s">
        <v>1640</v>
      </c>
      <c r="B237" s="2" t="n">
        <v>2023</v>
      </c>
      <c r="C237" s="2" t="s">
        <v>389</v>
      </c>
      <c r="D237" s="2" t="s">
        <v>33</v>
      </c>
      <c r="E237" s="2" t="s">
        <v>104</v>
      </c>
      <c r="F237" s="2" t="n">
        <v>2</v>
      </c>
      <c r="G237" s="2" t="s">
        <v>35</v>
      </c>
      <c r="H237" s="2" t="s">
        <v>1199</v>
      </c>
      <c r="I237" s="2" t="n">
        <v>8</v>
      </c>
      <c r="J237" s="2" t="n">
        <v>2</v>
      </c>
      <c r="K237" s="2" t="s">
        <v>64</v>
      </c>
      <c r="L237" s="2" t="s">
        <v>86</v>
      </c>
      <c r="M237" s="2"/>
      <c r="N237" s="2"/>
      <c r="O237" s="3" t="s">
        <v>232</v>
      </c>
      <c r="P237" s="2" t="s">
        <v>124</v>
      </c>
      <c r="Q237" s="2" t="s">
        <v>125</v>
      </c>
      <c r="R237" s="2" t="s">
        <v>126</v>
      </c>
      <c r="S237" s="2" t="s">
        <v>1641</v>
      </c>
      <c r="T237" s="3" t="s">
        <v>1642</v>
      </c>
      <c r="U237" s="3"/>
      <c r="V237" s="3" t="s">
        <v>1643</v>
      </c>
      <c r="W237" s="3" t="s">
        <v>1644</v>
      </c>
      <c r="X237" s="2" t="n">
        <v>11</v>
      </c>
      <c r="Y237" s="2" t="n">
        <v>4</v>
      </c>
      <c r="Z237" s="2" t="s">
        <v>47</v>
      </c>
      <c r="AA237" s="3"/>
      <c r="AB237" s="5"/>
      <c r="AC237" s="5"/>
      <c r="AD237" s="3" t="s">
        <v>1645</v>
      </c>
      <c r="AE237" s="3" t="s">
        <v>1646</v>
      </c>
    </row>
    <row r="238" customFormat="false" ht="60" hidden="false" customHeight="true" outlineLevel="0" collapsed="false">
      <c r="A238" s="2" t="s">
        <v>1647</v>
      </c>
      <c r="B238" s="2" t="n">
        <v>2023</v>
      </c>
      <c r="C238" s="2" t="s">
        <v>389</v>
      </c>
      <c r="D238" s="2" t="s">
        <v>33</v>
      </c>
      <c r="E238" s="2" t="s">
        <v>104</v>
      </c>
      <c r="F238" s="2" t="n">
        <v>2</v>
      </c>
      <c r="G238" s="2" t="s">
        <v>52</v>
      </c>
      <c r="H238" s="2" t="s">
        <v>1199</v>
      </c>
      <c r="I238" s="2" t="n">
        <v>12</v>
      </c>
      <c r="J238" s="2" t="n">
        <v>4</v>
      </c>
      <c r="K238" s="2" t="s">
        <v>813</v>
      </c>
      <c r="L238" s="2"/>
      <c r="M238" s="2"/>
      <c r="N238" s="2"/>
      <c r="O238" s="3" t="s">
        <v>308</v>
      </c>
      <c r="P238" s="2" t="s">
        <v>694</v>
      </c>
      <c r="Q238" s="2" t="s">
        <v>695</v>
      </c>
      <c r="R238" s="2" t="s">
        <v>1648</v>
      </c>
      <c r="S238" s="2" t="s">
        <v>1649</v>
      </c>
      <c r="T238" s="3" t="s">
        <v>1650</v>
      </c>
      <c r="U238" s="3"/>
      <c r="V238" s="3" t="s">
        <v>1651</v>
      </c>
      <c r="W238" s="3" t="s">
        <v>1652</v>
      </c>
      <c r="X238" s="2" t="n">
        <v>12</v>
      </c>
      <c r="Y238" s="2" t="n">
        <v>4</v>
      </c>
      <c r="Z238" s="2" t="s">
        <v>47</v>
      </c>
      <c r="AA238" s="3"/>
      <c r="AB238" s="5"/>
      <c r="AC238" s="5"/>
      <c r="AD238" s="3" t="s">
        <v>1653</v>
      </c>
      <c r="AE238" s="3" t="s">
        <v>1654</v>
      </c>
    </row>
    <row r="239" customFormat="false" ht="60" hidden="false" customHeight="true" outlineLevel="0" collapsed="false">
      <c r="A239" s="2" t="s">
        <v>1655</v>
      </c>
      <c r="B239" s="2" t="n">
        <v>2023</v>
      </c>
      <c r="C239" s="2" t="s">
        <v>389</v>
      </c>
      <c r="D239" s="2" t="s">
        <v>33</v>
      </c>
      <c r="E239" s="2" t="s">
        <v>104</v>
      </c>
      <c r="F239" s="2" t="n">
        <v>3</v>
      </c>
      <c r="G239" s="2" t="s">
        <v>35</v>
      </c>
      <c r="H239" s="2" t="s">
        <v>1199</v>
      </c>
      <c r="I239" s="2" t="n">
        <v>8</v>
      </c>
      <c r="J239" s="2" t="n">
        <v>2</v>
      </c>
      <c r="K239" s="2" t="s">
        <v>64</v>
      </c>
      <c r="L239" s="2" t="s">
        <v>86</v>
      </c>
      <c r="M239" s="2"/>
      <c r="N239" s="2"/>
      <c r="O239" s="3"/>
      <c r="P239" s="2" t="s">
        <v>209</v>
      </c>
      <c r="Q239" s="2" t="s">
        <v>210</v>
      </c>
      <c r="R239" s="2" t="s">
        <v>211</v>
      </c>
      <c r="S239" s="2" t="s">
        <v>212</v>
      </c>
      <c r="T239" s="3" t="s">
        <v>1656</v>
      </c>
      <c r="U239" s="3"/>
      <c r="V239" s="3" t="s">
        <v>1657</v>
      </c>
      <c r="W239" s="3" t="s">
        <v>1658</v>
      </c>
      <c r="X239" s="2" t="n">
        <v>14</v>
      </c>
      <c r="Y239" s="2" t="n">
        <v>4</v>
      </c>
      <c r="Z239" s="2" t="s">
        <v>47</v>
      </c>
      <c r="AA239" s="3"/>
      <c r="AB239" s="5"/>
      <c r="AC239" s="5"/>
      <c r="AD239" s="3" t="s">
        <v>1659</v>
      </c>
      <c r="AE239" s="3" t="s">
        <v>1660</v>
      </c>
    </row>
    <row r="240" customFormat="false" ht="60" hidden="false" customHeight="true" outlineLevel="0" collapsed="false">
      <c r="A240" s="2" t="s">
        <v>1661</v>
      </c>
      <c r="B240" s="2" t="n">
        <v>2023</v>
      </c>
      <c r="C240" s="2" t="s">
        <v>389</v>
      </c>
      <c r="D240" s="2" t="s">
        <v>33</v>
      </c>
      <c r="E240" s="2" t="s">
        <v>104</v>
      </c>
      <c r="F240" s="2" t="n">
        <v>3</v>
      </c>
      <c r="G240" s="2" t="s">
        <v>52</v>
      </c>
      <c r="H240" s="2" t="s">
        <v>1199</v>
      </c>
      <c r="I240" s="2" t="n">
        <v>12</v>
      </c>
      <c r="J240" s="2" t="n">
        <v>4</v>
      </c>
      <c r="K240" s="2" t="s">
        <v>813</v>
      </c>
      <c r="L240" s="2"/>
      <c r="M240" s="2"/>
      <c r="N240" s="2"/>
      <c r="O240" s="3"/>
      <c r="P240" s="2" t="s">
        <v>1493</v>
      </c>
      <c r="Q240" s="2" t="s">
        <v>1494</v>
      </c>
      <c r="R240" s="2" t="s">
        <v>1662</v>
      </c>
      <c r="S240" s="2" t="s">
        <v>1663</v>
      </c>
      <c r="T240" s="3" t="s">
        <v>1664</v>
      </c>
      <c r="U240" s="3"/>
      <c r="V240" s="3" t="s">
        <v>1665</v>
      </c>
      <c r="W240" s="3" t="s">
        <v>1666</v>
      </c>
      <c r="X240" s="2" t="n">
        <v>15</v>
      </c>
      <c r="Y240" s="2" t="n">
        <v>4</v>
      </c>
      <c r="Z240" s="2" t="s">
        <v>47</v>
      </c>
      <c r="AA240" s="3"/>
      <c r="AB240" s="5"/>
      <c r="AC240" s="5"/>
      <c r="AD240" s="3"/>
      <c r="AE240" s="3" t="s">
        <v>1667</v>
      </c>
    </row>
    <row r="241" customFormat="false" ht="60" hidden="false" customHeight="true" outlineLevel="0" collapsed="false">
      <c r="A241" s="2" t="s">
        <v>1668</v>
      </c>
      <c r="B241" s="2" t="n">
        <v>2023</v>
      </c>
      <c r="C241" s="2" t="s">
        <v>389</v>
      </c>
      <c r="D241" s="2" t="s">
        <v>33</v>
      </c>
      <c r="E241" s="2" t="s">
        <v>1230</v>
      </c>
      <c r="F241" s="2" t="n">
        <v>4</v>
      </c>
      <c r="G241" s="2" t="s">
        <v>35</v>
      </c>
      <c r="H241" s="2" t="s">
        <v>1231</v>
      </c>
      <c r="I241" s="2" t="n">
        <v>8</v>
      </c>
      <c r="J241" s="2" t="n">
        <v>2</v>
      </c>
      <c r="K241" s="2" t="s">
        <v>64</v>
      </c>
      <c r="L241" s="2" t="s">
        <v>86</v>
      </c>
      <c r="M241" s="2"/>
      <c r="N241" s="2"/>
      <c r="O241" s="3"/>
      <c r="P241" s="2" t="s">
        <v>193</v>
      </c>
      <c r="Q241" s="2" t="s">
        <v>194</v>
      </c>
      <c r="R241" s="2" t="s">
        <v>195</v>
      </c>
      <c r="S241" s="2" t="s">
        <v>1669</v>
      </c>
      <c r="T241" s="3" t="s">
        <v>1670</v>
      </c>
      <c r="U241" s="3"/>
      <c r="V241" s="3" t="s">
        <v>1671</v>
      </c>
      <c r="W241" s="3" t="s">
        <v>1672</v>
      </c>
      <c r="X241" s="2" t="n">
        <v>16</v>
      </c>
      <c r="Y241" s="2" t="n">
        <v>4</v>
      </c>
      <c r="Z241" s="2" t="s">
        <v>47</v>
      </c>
      <c r="AA241" s="3"/>
      <c r="AB241" s="5"/>
      <c r="AC241" s="5"/>
      <c r="AD241" s="3"/>
      <c r="AE241" s="3" t="s">
        <v>1673</v>
      </c>
    </row>
    <row r="242" customFormat="false" ht="60" hidden="false" customHeight="true" outlineLevel="0" collapsed="false">
      <c r="A242" s="2" t="s">
        <v>1674</v>
      </c>
      <c r="B242" s="2" t="n">
        <v>2023</v>
      </c>
      <c r="C242" s="2" t="s">
        <v>389</v>
      </c>
      <c r="D242" s="2" t="s">
        <v>33</v>
      </c>
      <c r="E242" s="2" t="s">
        <v>1230</v>
      </c>
      <c r="F242" s="2" t="n">
        <v>4</v>
      </c>
      <c r="G242" s="2" t="s">
        <v>52</v>
      </c>
      <c r="H242" s="2" t="s">
        <v>1231</v>
      </c>
      <c r="I242" s="2" t="n">
        <v>12</v>
      </c>
      <c r="J242" s="2" t="n">
        <v>4</v>
      </c>
      <c r="K242" s="2" t="s">
        <v>813</v>
      </c>
      <c r="L242" s="2"/>
      <c r="M242" s="2"/>
      <c r="N242" s="2"/>
      <c r="O242" s="3" t="s">
        <v>308</v>
      </c>
      <c r="P242" s="2" t="s">
        <v>193</v>
      </c>
      <c r="Q242" s="2" t="s">
        <v>194</v>
      </c>
      <c r="R242" s="2" t="s">
        <v>195</v>
      </c>
      <c r="S242" s="2" t="s">
        <v>1675</v>
      </c>
      <c r="T242" s="3" t="s">
        <v>1676</v>
      </c>
      <c r="U242" s="3"/>
      <c r="V242" s="3" t="s">
        <v>1677</v>
      </c>
      <c r="W242" s="3" t="s">
        <v>1678</v>
      </c>
      <c r="X242" s="2" t="n">
        <v>17</v>
      </c>
      <c r="Y242" s="2" t="n">
        <v>4</v>
      </c>
      <c r="Z242" s="2" t="s">
        <v>47</v>
      </c>
      <c r="AA242" s="3"/>
      <c r="AB242" s="5"/>
      <c r="AC242" s="5"/>
      <c r="AD242" s="3"/>
      <c r="AE242" s="3" t="s">
        <v>1679</v>
      </c>
    </row>
    <row r="243" customFormat="false" ht="60" hidden="false" customHeight="true" outlineLevel="0" collapsed="false">
      <c r="A243" s="2" t="s">
        <v>1680</v>
      </c>
      <c r="B243" s="2" t="n">
        <v>2023</v>
      </c>
      <c r="C243" s="2" t="s">
        <v>389</v>
      </c>
      <c r="D243" s="2" t="s">
        <v>33</v>
      </c>
      <c r="E243" s="2" t="s">
        <v>1230</v>
      </c>
      <c r="F243" s="2" t="n">
        <v>5</v>
      </c>
      <c r="G243" s="2" t="s">
        <v>35</v>
      </c>
      <c r="H243" s="2" t="s">
        <v>1231</v>
      </c>
      <c r="I243" s="2" t="n">
        <v>8</v>
      </c>
      <c r="J243" s="2" t="n">
        <v>2</v>
      </c>
      <c r="K243" s="2" t="s">
        <v>64</v>
      </c>
      <c r="L243" s="2" t="s">
        <v>86</v>
      </c>
      <c r="M243" s="2" t="s">
        <v>37</v>
      </c>
      <c r="N243" s="2"/>
      <c r="O243" s="3" t="s">
        <v>1250</v>
      </c>
      <c r="P243" s="2" t="s">
        <v>201</v>
      </c>
      <c r="Q243" s="2" t="s">
        <v>202</v>
      </c>
      <c r="R243" s="2" t="s">
        <v>1681</v>
      </c>
      <c r="S243" s="2" t="s">
        <v>1682</v>
      </c>
      <c r="T243" s="3" t="s">
        <v>1683</v>
      </c>
      <c r="U243" s="3"/>
      <c r="V243" s="3" t="s">
        <v>1684</v>
      </c>
      <c r="W243" s="3" t="s">
        <v>1685</v>
      </c>
      <c r="X243" s="2" t="n">
        <v>18</v>
      </c>
      <c r="Y243" s="2" t="n">
        <v>4</v>
      </c>
      <c r="Z243" s="2" t="s">
        <v>47</v>
      </c>
      <c r="AA243" s="3"/>
      <c r="AB243" s="5"/>
      <c r="AC243" s="5"/>
      <c r="AD243" s="3" t="s">
        <v>1686</v>
      </c>
      <c r="AE243" s="3" t="s">
        <v>1687</v>
      </c>
    </row>
    <row r="244" customFormat="false" ht="60" hidden="false" customHeight="true" outlineLevel="0" collapsed="false">
      <c r="A244" s="2" t="s">
        <v>1688</v>
      </c>
      <c r="B244" s="2" t="n">
        <v>2023</v>
      </c>
      <c r="C244" s="2" t="s">
        <v>389</v>
      </c>
      <c r="D244" s="2" t="s">
        <v>33</v>
      </c>
      <c r="E244" s="2" t="s">
        <v>1230</v>
      </c>
      <c r="F244" s="2" t="n">
        <v>5</v>
      </c>
      <c r="G244" s="2" t="s">
        <v>52</v>
      </c>
      <c r="H244" s="2" t="s">
        <v>1231</v>
      </c>
      <c r="I244" s="2" t="n">
        <v>12</v>
      </c>
      <c r="J244" s="2" t="n">
        <v>4</v>
      </c>
      <c r="K244" s="2" t="s">
        <v>813</v>
      </c>
      <c r="L244" s="2"/>
      <c r="M244" s="2"/>
      <c r="N244" s="2"/>
      <c r="O244" s="3"/>
      <c r="P244" s="2" t="s">
        <v>39</v>
      </c>
      <c r="Q244" s="2" t="s">
        <v>40</v>
      </c>
      <c r="R244" s="2" t="s">
        <v>1689</v>
      </c>
      <c r="S244" s="2" t="s">
        <v>405</v>
      </c>
      <c r="T244" s="3" t="s">
        <v>1690</v>
      </c>
      <c r="U244" s="3"/>
      <c r="V244" s="3" t="s">
        <v>1691</v>
      </c>
      <c r="W244" s="3" t="s">
        <v>1692</v>
      </c>
      <c r="X244" s="2" t="n">
        <v>19</v>
      </c>
      <c r="Y244" s="2" t="n">
        <v>4</v>
      </c>
      <c r="Z244" s="2" t="s">
        <v>47</v>
      </c>
      <c r="AA244" s="3"/>
      <c r="AB244" s="5"/>
      <c r="AC244" s="5"/>
      <c r="AD244" s="3" t="s">
        <v>1693</v>
      </c>
      <c r="AE244" s="3" t="s">
        <v>1694</v>
      </c>
    </row>
    <row r="245" customFormat="false" ht="60" hidden="false" customHeight="true" outlineLevel="0" collapsed="false">
      <c r="A245" s="2" t="s">
        <v>1695</v>
      </c>
      <c r="B245" s="2" t="n">
        <v>2023</v>
      </c>
      <c r="C245" s="2" t="s">
        <v>389</v>
      </c>
      <c r="D245" s="2" t="s">
        <v>316</v>
      </c>
      <c r="E245" s="2" t="s">
        <v>34</v>
      </c>
      <c r="F245" s="2" t="n">
        <v>1</v>
      </c>
      <c r="G245" s="2" t="s">
        <v>35</v>
      </c>
      <c r="H245" s="2"/>
      <c r="I245" s="2" t="n">
        <v>2</v>
      </c>
      <c r="J245" s="2" t="n">
        <v>0</v>
      </c>
      <c r="K245" s="2" t="s">
        <v>64</v>
      </c>
      <c r="L245" s="2"/>
      <c r="M245" s="2"/>
      <c r="N245" s="2"/>
      <c r="O245" s="3"/>
      <c r="P245" s="2" t="s">
        <v>594</v>
      </c>
      <c r="Q245" s="2" t="s">
        <v>595</v>
      </c>
      <c r="R245" s="2" t="s">
        <v>1242</v>
      </c>
      <c r="S245" s="2" t="s">
        <v>1696</v>
      </c>
      <c r="T245" s="3" t="s">
        <v>1697</v>
      </c>
      <c r="U245" s="3" t="s">
        <v>1698</v>
      </c>
      <c r="V245" s="3" t="s">
        <v>1699</v>
      </c>
      <c r="W245" s="3" t="s">
        <v>1700</v>
      </c>
      <c r="X245" s="2" t="n">
        <v>7</v>
      </c>
      <c r="Y245" s="2" t="n">
        <v>3</v>
      </c>
      <c r="Z245" s="2" t="s">
        <v>47</v>
      </c>
      <c r="AA245" s="3"/>
      <c r="AB245" s="5"/>
      <c r="AC245" s="5"/>
      <c r="AD245" s="3"/>
      <c r="AE245" s="3" t="s">
        <v>1701</v>
      </c>
    </row>
    <row r="246" customFormat="false" ht="60" hidden="false" customHeight="true" outlineLevel="0" collapsed="false">
      <c r="A246" s="2" t="s">
        <v>1702</v>
      </c>
      <c r="B246" s="2" t="n">
        <v>2023</v>
      </c>
      <c r="C246" s="2" t="s">
        <v>389</v>
      </c>
      <c r="D246" s="2" t="s">
        <v>316</v>
      </c>
      <c r="E246" s="2" t="s">
        <v>34</v>
      </c>
      <c r="F246" s="2" t="n">
        <v>1</v>
      </c>
      <c r="G246" s="2" t="s">
        <v>52</v>
      </c>
      <c r="H246" s="2"/>
      <c r="I246" s="2" t="n">
        <v>2</v>
      </c>
      <c r="J246" s="2" t="n">
        <v>0</v>
      </c>
      <c r="K246" s="2" t="s">
        <v>53</v>
      </c>
      <c r="L246" s="2" t="s">
        <v>1703</v>
      </c>
      <c r="M246" s="2"/>
      <c r="N246" s="2"/>
      <c r="O246" s="3"/>
      <c r="P246" s="2" t="s">
        <v>594</v>
      </c>
      <c r="Q246" s="2" t="s">
        <v>595</v>
      </c>
      <c r="R246" s="2" t="s">
        <v>1242</v>
      </c>
      <c r="S246" s="2" t="s">
        <v>1696</v>
      </c>
      <c r="T246" s="3" t="s">
        <v>1704</v>
      </c>
      <c r="U246" s="3" t="s">
        <v>1698</v>
      </c>
      <c r="V246" s="3" t="s">
        <v>1705</v>
      </c>
      <c r="W246" s="3" t="s">
        <v>1706</v>
      </c>
      <c r="X246" s="2" t="n">
        <v>7</v>
      </c>
      <c r="Y246" s="2" t="n">
        <v>3</v>
      </c>
      <c r="Z246" s="2" t="s">
        <v>47</v>
      </c>
      <c r="AA246" s="4" t="s">
        <v>323</v>
      </c>
      <c r="AB246" s="5"/>
      <c r="AC246" s="5"/>
      <c r="AD246" s="3"/>
      <c r="AE246" s="3" t="s">
        <v>1707</v>
      </c>
    </row>
    <row r="247" customFormat="false" ht="60" hidden="false" customHeight="true" outlineLevel="0" collapsed="false">
      <c r="A247" s="2" t="s">
        <v>1708</v>
      </c>
      <c r="B247" s="2" t="n">
        <v>2023</v>
      </c>
      <c r="C247" s="2" t="s">
        <v>389</v>
      </c>
      <c r="D247" s="2" t="s">
        <v>316</v>
      </c>
      <c r="E247" s="2" t="s">
        <v>34</v>
      </c>
      <c r="F247" s="2" t="n">
        <v>1</v>
      </c>
      <c r="G247" s="2" t="s">
        <v>63</v>
      </c>
      <c r="H247" s="2"/>
      <c r="I247" s="2" t="n">
        <v>4</v>
      </c>
      <c r="J247" s="2" t="n">
        <v>2</v>
      </c>
      <c r="K247" s="2" t="s">
        <v>280</v>
      </c>
      <c r="L247" s="2" t="s">
        <v>86</v>
      </c>
      <c r="M247" s="2"/>
      <c r="N247" s="2"/>
      <c r="O247" s="3"/>
      <c r="P247" s="2" t="s">
        <v>594</v>
      </c>
      <c r="Q247" s="2" t="s">
        <v>595</v>
      </c>
      <c r="R247" s="2" t="s">
        <v>596</v>
      </c>
      <c r="S247" s="2" t="s">
        <v>597</v>
      </c>
      <c r="T247" s="3" t="s">
        <v>1709</v>
      </c>
      <c r="U247" s="3" t="s">
        <v>1698</v>
      </c>
      <c r="V247" s="3" t="s">
        <v>1710</v>
      </c>
      <c r="W247" s="3" t="s">
        <v>1711</v>
      </c>
      <c r="X247" s="2" t="n">
        <v>7</v>
      </c>
      <c r="Y247" s="2" t="n">
        <v>3</v>
      </c>
      <c r="Z247" s="2" t="s">
        <v>47</v>
      </c>
      <c r="AA247" s="3"/>
      <c r="AB247" s="5"/>
      <c r="AC247" s="5"/>
      <c r="AD247" s="3"/>
      <c r="AE247" s="3" t="s">
        <v>1712</v>
      </c>
    </row>
    <row r="248" customFormat="false" ht="60" hidden="false" customHeight="true" outlineLevel="0" collapsed="false">
      <c r="A248" s="2" t="s">
        <v>1713</v>
      </c>
      <c r="B248" s="2" t="n">
        <v>2023</v>
      </c>
      <c r="C248" s="2" t="s">
        <v>389</v>
      </c>
      <c r="D248" s="2" t="s">
        <v>316</v>
      </c>
      <c r="E248" s="2" t="s">
        <v>34</v>
      </c>
      <c r="F248" s="2" t="n">
        <v>1</v>
      </c>
      <c r="G248" s="2" t="s">
        <v>72</v>
      </c>
      <c r="H248" s="2"/>
      <c r="I248" s="2" t="n">
        <v>6</v>
      </c>
      <c r="J248" s="2" t="n">
        <v>2</v>
      </c>
      <c r="K248" s="2" t="s">
        <v>813</v>
      </c>
      <c r="L248" s="2"/>
      <c r="M248" s="2"/>
      <c r="N248" s="2"/>
      <c r="O248" s="3"/>
      <c r="P248" s="2" t="s">
        <v>1266</v>
      </c>
      <c r="Q248" s="2" t="s">
        <v>1267</v>
      </c>
      <c r="R248" s="2" t="s">
        <v>1714</v>
      </c>
      <c r="S248" s="2" t="s">
        <v>1715</v>
      </c>
      <c r="T248" s="3" t="s">
        <v>1716</v>
      </c>
      <c r="U248" s="3" t="s">
        <v>1698</v>
      </c>
      <c r="V248" s="3" t="s">
        <v>1717</v>
      </c>
      <c r="W248" s="3" t="s">
        <v>1718</v>
      </c>
      <c r="X248" s="2" t="n">
        <v>7</v>
      </c>
      <c r="Y248" s="2" t="n">
        <v>3</v>
      </c>
      <c r="Z248" s="2" t="s">
        <v>47</v>
      </c>
      <c r="AA248" s="3"/>
      <c r="AB248" s="5"/>
      <c r="AC248" s="5"/>
      <c r="AD248" s="3"/>
      <c r="AE248" s="3" t="s">
        <v>1719</v>
      </c>
    </row>
    <row r="249" customFormat="false" ht="60" hidden="false" customHeight="true" outlineLevel="0" collapsed="false">
      <c r="A249" s="2" t="s">
        <v>1720</v>
      </c>
      <c r="B249" s="2" t="n">
        <v>2023</v>
      </c>
      <c r="C249" s="2" t="s">
        <v>389</v>
      </c>
      <c r="D249" s="2" t="s">
        <v>316</v>
      </c>
      <c r="E249" s="2" t="s">
        <v>34</v>
      </c>
      <c r="F249" s="2" t="n">
        <v>1</v>
      </c>
      <c r="G249" s="2" t="s">
        <v>84</v>
      </c>
      <c r="H249" s="2"/>
      <c r="I249" s="2" t="n">
        <v>6</v>
      </c>
      <c r="J249" s="2" t="n">
        <v>2</v>
      </c>
      <c r="K249" s="2" t="s">
        <v>813</v>
      </c>
      <c r="L249" s="2"/>
      <c r="M249" s="2"/>
      <c r="N249" s="2"/>
      <c r="O249" s="3" t="s">
        <v>308</v>
      </c>
      <c r="P249" s="2" t="s">
        <v>87</v>
      </c>
      <c r="Q249" s="2" t="s">
        <v>88</v>
      </c>
      <c r="R249" s="2" t="s">
        <v>1721</v>
      </c>
      <c r="S249" s="2" t="s">
        <v>1722</v>
      </c>
      <c r="T249" s="3" t="s">
        <v>1723</v>
      </c>
      <c r="U249" s="3" t="s">
        <v>1698</v>
      </c>
      <c r="V249" s="3" t="s">
        <v>1724</v>
      </c>
      <c r="W249" s="3" t="s">
        <v>1725</v>
      </c>
      <c r="X249" s="2" t="n">
        <v>8</v>
      </c>
      <c r="Y249" s="2" t="n">
        <v>3</v>
      </c>
      <c r="Z249" s="2" t="s">
        <v>47</v>
      </c>
      <c r="AA249" s="3"/>
      <c r="AB249" s="5"/>
      <c r="AC249" s="5"/>
      <c r="AD249" s="3"/>
      <c r="AE249" s="3" t="s">
        <v>1726</v>
      </c>
    </row>
    <row r="250" customFormat="false" ht="60" hidden="false" customHeight="true" outlineLevel="0" collapsed="false">
      <c r="A250" s="2" t="s">
        <v>1727</v>
      </c>
      <c r="B250" s="2" t="n">
        <v>2023</v>
      </c>
      <c r="C250" s="2" t="s">
        <v>389</v>
      </c>
      <c r="D250" s="2" t="s">
        <v>316</v>
      </c>
      <c r="E250" s="2" t="s">
        <v>104</v>
      </c>
      <c r="F250" s="2" t="n">
        <v>2</v>
      </c>
      <c r="G250" s="2" t="s">
        <v>35</v>
      </c>
      <c r="H250" s="2" t="s">
        <v>1199</v>
      </c>
      <c r="I250" s="2" t="n">
        <v>8</v>
      </c>
      <c r="J250" s="2" t="n">
        <v>2</v>
      </c>
      <c r="K250" s="2" t="s">
        <v>64</v>
      </c>
      <c r="L250" s="2" t="s">
        <v>86</v>
      </c>
      <c r="M250" s="2"/>
      <c r="N250" s="2"/>
      <c r="O250" s="3"/>
      <c r="P250" s="2" t="s">
        <v>694</v>
      </c>
      <c r="Q250" s="2" t="s">
        <v>695</v>
      </c>
      <c r="R250" s="2" t="s">
        <v>696</v>
      </c>
      <c r="S250" s="2" t="s">
        <v>1728</v>
      </c>
      <c r="T250" s="3" t="s">
        <v>1729</v>
      </c>
      <c r="U250" s="3"/>
      <c r="V250" s="3" t="s">
        <v>1730</v>
      </c>
      <c r="W250" s="3" t="s">
        <v>1731</v>
      </c>
      <c r="X250" s="2" t="n">
        <v>9</v>
      </c>
      <c r="Y250" s="2" t="n">
        <v>3</v>
      </c>
      <c r="Z250" s="2" t="s">
        <v>47</v>
      </c>
      <c r="AA250" s="3"/>
      <c r="AB250" s="5"/>
      <c r="AC250" s="5"/>
      <c r="AD250" s="3"/>
      <c r="AE250" s="3" t="s">
        <v>1732</v>
      </c>
    </row>
    <row r="251" customFormat="false" ht="60" hidden="false" customHeight="true" outlineLevel="0" collapsed="false">
      <c r="A251" s="2" t="s">
        <v>1733</v>
      </c>
      <c r="B251" s="2" t="n">
        <v>2023</v>
      </c>
      <c r="C251" s="2" t="s">
        <v>389</v>
      </c>
      <c r="D251" s="2" t="s">
        <v>316</v>
      </c>
      <c r="E251" s="2" t="s">
        <v>104</v>
      </c>
      <c r="F251" s="2" t="n">
        <v>2</v>
      </c>
      <c r="G251" s="2" t="s">
        <v>52</v>
      </c>
      <c r="H251" s="2" t="s">
        <v>1199</v>
      </c>
      <c r="I251" s="2" t="n">
        <v>12</v>
      </c>
      <c r="J251" s="2" t="n">
        <v>4</v>
      </c>
      <c r="K251" s="2" t="s">
        <v>813</v>
      </c>
      <c r="L251" s="2"/>
      <c r="M251" s="2"/>
      <c r="N251" s="2"/>
      <c r="O251" s="3" t="s">
        <v>308</v>
      </c>
      <c r="P251" s="2" t="s">
        <v>124</v>
      </c>
      <c r="Q251" s="2" t="s">
        <v>125</v>
      </c>
      <c r="R251" s="2" t="s">
        <v>126</v>
      </c>
      <c r="S251" s="2" t="s">
        <v>847</v>
      </c>
      <c r="T251" s="3" t="s">
        <v>1734</v>
      </c>
      <c r="U251" s="3"/>
      <c r="V251" s="3" t="s">
        <v>1735</v>
      </c>
      <c r="W251" s="3" t="s">
        <v>1736</v>
      </c>
      <c r="X251" s="2" t="n">
        <v>10</v>
      </c>
      <c r="Y251" s="2" t="n">
        <v>3</v>
      </c>
      <c r="Z251" s="2" t="s">
        <v>47</v>
      </c>
      <c r="AA251" s="3"/>
      <c r="AB251" s="5"/>
      <c r="AC251" s="5"/>
      <c r="AD251" s="3" t="s">
        <v>1737</v>
      </c>
      <c r="AE251" s="3" t="s">
        <v>1738</v>
      </c>
    </row>
    <row r="252" customFormat="false" ht="60" hidden="false" customHeight="true" outlineLevel="0" collapsed="false">
      <c r="A252" s="2" t="s">
        <v>1739</v>
      </c>
      <c r="B252" s="2" t="n">
        <v>2023</v>
      </c>
      <c r="C252" s="2" t="s">
        <v>389</v>
      </c>
      <c r="D252" s="2" t="s">
        <v>316</v>
      </c>
      <c r="E252" s="2" t="s">
        <v>104</v>
      </c>
      <c r="F252" s="2" t="n">
        <v>3</v>
      </c>
      <c r="G252" s="2" t="s">
        <v>35</v>
      </c>
      <c r="H252" s="2" t="s">
        <v>1199</v>
      </c>
      <c r="I252" s="2" t="n">
        <v>8</v>
      </c>
      <c r="J252" s="2" t="n">
        <v>2</v>
      </c>
      <c r="K252" s="2" t="s">
        <v>64</v>
      </c>
      <c r="L252" s="2" t="s">
        <v>86</v>
      </c>
      <c r="M252" s="2"/>
      <c r="N252" s="2"/>
      <c r="O252" s="3" t="s">
        <v>527</v>
      </c>
      <c r="P252" s="2" t="s">
        <v>209</v>
      </c>
      <c r="Q252" s="2" t="s">
        <v>210</v>
      </c>
      <c r="R252" s="2" t="s">
        <v>211</v>
      </c>
      <c r="S252" s="2" t="s">
        <v>212</v>
      </c>
      <c r="T252" s="3" t="s">
        <v>1740</v>
      </c>
      <c r="U252" s="3"/>
      <c r="V252" s="3" t="s">
        <v>1741</v>
      </c>
      <c r="W252" s="3" t="s">
        <v>1742</v>
      </c>
      <c r="X252" s="2" t="n">
        <v>11</v>
      </c>
      <c r="Y252" s="2" t="n">
        <v>3</v>
      </c>
      <c r="Z252" s="2" t="s">
        <v>47</v>
      </c>
      <c r="AA252" s="3"/>
      <c r="AB252" s="5"/>
      <c r="AC252" s="5"/>
      <c r="AD252" s="3"/>
      <c r="AE252" s="3" t="s">
        <v>1743</v>
      </c>
    </row>
    <row r="253" customFormat="false" ht="60" hidden="false" customHeight="true" outlineLevel="0" collapsed="false">
      <c r="A253" s="2" t="s">
        <v>1744</v>
      </c>
      <c r="B253" s="2" t="n">
        <v>2023</v>
      </c>
      <c r="C253" s="2" t="s">
        <v>389</v>
      </c>
      <c r="D253" s="2" t="s">
        <v>316</v>
      </c>
      <c r="E253" s="2" t="s">
        <v>104</v>
      </c>
      <c r="F253" s="2" t="n">
        <v>3</v>
      </c>
      <c r="G253" s="2" t="s">
        <v>52</v>
      </c>
      <c r="H253" s="2" t="s">
        <v>1199</v>
      </c>
      <c r="I253" s="2" t="n">
        <v>12</v>
      </c>
      <c r="J253" s="2" t="n">
        <v>4</v>
      </c>
      <c r="K253" s="2" t="s">
        <v>813</v>
      </c>
      <c r="L253" s="2"/>
      <c r="M253" s="2"/>
      <c r="N253" s="2"/>
      <c r="O253" s="3"/>
      <c r="P253" s="2" t="s">
        <v>151</v>
      </c>
      <c r="Q253" s="2" t="s">
        <v>152</v>
      </c>
      <c r="R253" s="2" t="s">
        <v>153</v>
      </c>
      <c r="S253" s="2" t="s">
        <v>1745</v>
      </c>
      <c r="T253" s="3" t="s">
        <v>1746</v>
      </c>
      <c r="U253" s="3"/>
      <c r="V253" s="3" t="s">
        <v>1747</v>
      </c>
      <c r="W253" s="3" t="s">
        <v>1748</v>
      </c>
      <c r="X253" s="2" t="n">
        <v>12</v>
      </c>
      <c r="Y253" s="2" t="n">
        <v>3</v>
      </c>
      <c r="Z253" s="2" t="s">
        <v>47</v>
      </c>
      <c r="AA253" s="3"/>
      <c r="AB253" s="5"/>
      <c r="AC253" s="5"/>
      <c r="AD253" s="3"/>
      <c r="AE253" s="3" t="s">
        <v>1749</v>
      </c>
    </row>
    <row r="254" customFormat="false" ht="60" hidden="false" customHeight="true" outlineLevel="0" collapsed="false">
      <c r="A254" s="2" t="s">
        <v>1750</v>
      </c>
      <c r="B254" s="2" t="n">
        <v>2023</v>
      </c>
      <c r="C254" s="2" t="s">
        <v>389</v>
      </c>
      <c r="D254" s="2" t="s">
        <v>316</v>
      </c>
      <c r="E254" s="2" t="s">
        <v>1230</v>
      </c>
      <c r="F254" s="2" t="n">
        <v>4</v>
      </c>
      <c r="G254" s="2" t="s">
        <v>35</v>
      </c>
      <c r="H254" s="2" t="s">
        <v>1231</v>
      </c>
      <c r="I254" s="2" t="n">
        <v>8</v>
      </c>
      <c r="J254" s="2" t="n">
        <v>2</v>
      </c>
      <c r="K254" s="2" t="s">
        <v>64</v>
      </c>
      <c r="L254" s="2" t="s">
        <v>86</v>
      </c>
      <c r="M254" s="2"/>
      <c r="N254" s="2"/>
      <c r="O254" s="3"/>
      <c r="P254" s="2" t="s">
        <v>1266</v>
      </c>
      <c r="Q254" s="2" t="s">
        <v>1267</v>
      </c>
      <c r="R254" s="2" t="s">
        <v>1268</v>
      </c>
      <c r="S254" s="2" t="s">
        <v>1277</v>
      </c>
      <c r="T254" s="3" t="s">
        <v>1751</v>
      </c>
      <c r="U254" s="3"/>
      <c r="V254" s="3" t="s">
        <v>1752</v>
      </c>
      <c r="W254" s="3" t="s">
        <v>1753</v>
      </c>
      <c r="X254" s="2" t="n">
        <v>13</v>
      </c>
      <c r="Y254" s="2" t="n">
        <v>4</v>
      </c>
      <c r="Z254" s="2" t="s">
        <v>47</v>
      </c>
      <c r="AA254" s="3"/>
      <c r="AB254" s="5"/>
      <c r="AC254" s="5"/>
      <c r="AD254" s="3" t="s">
        <v>1754</v>
      </c>
      <c r="AE254" s="3" t="s">
        <v>1755</v>
      </c>
    </row>
    <row r="255" customFormat="false" ht="60" hidden="false" customHeight="true" outlineLevel="0" collapsed="false">
      <c r="A255" s="2" t="s">
        <v>1756</v>
      </c>
      <c r="B255" s="2" t="n">
        <v>2023</v>
      </c>
      <c r="C255" s="2" t="s">
        <v>389</v>
      </c>
      <c r="D255" s="2" t="s">
        <v>316</v>
      </c>
      <c r="E255" s="2" t="s">
        <v>1230</v>
      </c>
      <c r="F255" s="2" t="n">
        <v>4</v>
      </c>
      <c r="G255" s="2" t="s">
        <v>52</v>
      </c>
      <c r="H255" s="2" t="s">
        <v>1231</v>
      </c>
      <c r="I255" s="2" t="n">
        <v>12</v>
      </c>
      <c r="J255" s="2" t="n">
        <v>4</v>
      </c>
      <c r="K255" s="2" t="s">
        <v>813</v>
      </c>
      <c r="L255" s="2"/>
      <c r="M255" s="2"/>
      <c r="N255" s="2"/>
      <c r="O255" s="3" t="s">
        <v>527</v>
      </c>
      <c r="P255" s="2" t="s">
        <v>115</v>
      </c>
      <c r="Q255" s="2" t="s">
        <v>116</v>
      </c>
      <c r="R255" s="2" t="s">
        <v>1757</v>
      </c>
      <c r="S255" s="2" t="s">
        <v>1758</v>
      </c>
      <c r="T255" s="3" t="s">
        <v>1759</v>
      </c>
      <c r="U255" s="3"/>
      <c r="V255" s="3" t="s">
        <v>1760</v>
      </c>
      <c r="W255" s="3" t="s">
        <v>1761</v>
      </c>
      <c r="X255" s="2" t="n">
        <v>14</v>
      </c>
      <c r="Y255" s="2" t="n">
        <v>4</v>
      </c>
      <c r="Z255" s="2" t="s">
        <v>47</v>
      </c>
      <c r="AA255" s="3"/>
      <c r="AB255" s="5"/>
      <c r="AC255" s="5"/>
      <c r="AD255" s="3" t="s">
        <v>1762</v>
      </c>
      <c r="AE255" s="3" t="s">
        <v>1763</v>
      </c>
    </row>
    <row r="256" customFormat="false" ht="60" hidden="false" customHeight="true" outlineLevel="0" collapsed="false">
      <c r="A256" s="2" t="s">
        <v>1764</v>
      </c>
      <c r="B256" s="2" t="n">
        <v>2023</v>
      </c>
      <c r="C256" s="2" t="s">
        <v>389</v>
      </c>
      <c r="D256" s="2" t="s">
        <v>316</v>
      </c>
      <c r="E256" s="2" t="s">
        <v>1230</v>
      </c>
      <c r="F256" s="2" t="n">
        <v>5</v>
      </c>
      <c r="G256" s="2" t="s">
        <v>35</v>
      </c>
      <c r="H256" s="2" t="s">
        <v>1231</v>
      </c>
      <c r="I256" s="2" t="n">
        <v>8</v>
      </c>
      <c r="J256" s="2" t="n">
        <v>2</v>
      </c>
      <c r="K256" s="2" t="s">
        <v>64</v>
      </c>
      <c r="L256" s="2" t="s">
        <v>86</v>
      </c>
      <c r="M256" s="2"/>
      <c r="N256" s="2"/>
      <c r="O256" s="3" t="s">
        <v>308</v>
      </c>
      <c r="P256" s="2" t="s">
        <v>466</v>
      </c>
      <c r="Q256" s="2" t="s">
        <v>467</v>
      </c>
      <c r="R256" s="2" t="s">
        <v>1006</v>
      </c>
      <c r="S256" s="2" t="s">
        <v>1007</v>
      </c>
      <c r="T256" s="3" t="s">
        <v>1765</v>
      </c>
      <c r="U256" s="3"/>
      <c r="V256" s="3" t="s">
        <v>1766</v>
      </c>
      <c r="W256" s="3" t="s">
        <v>1767</v>
      </c>
      <c r="X256" s="2" t="n">
        <v>15</v>
      </c>
      <c r="Y256" s="2" t="n">
        <v>4</v>
      </c>
      <c r="Z256" s="2" t="s">
        <v>47</v>
      </c>
      <c r="AA256" s="3"/>
      <c r="AB256" s="5"/>
      <c r="AC256" s="5"/>
      <c r="AD256" s="3"/>
      <c r="AE256" s="3" t="s">
        <v>1768</v>
      </c>
    </row>
    <row r="257" customFormat="false" ht="60" hidden="false" customHeight="true" outlineLevel="0" collapsed="false">
      <c r="A257" s="2" t="s">
        <v>1769</v>
      </c>
      <c r="B257" s="2" t="n">
        <v>2023</v>
      </c>
      <c r="C257" s="2" t="s">
        <v>389</v>
      </c>
      <c r="D257" s="2" t="s">
        <v>316</v>
      </c>
      <c r="E257" s="2" t="s">
        <v>1230</v>
      </c>
      <c r="F257" s="2" t="n">
        <v>5</v>
      </c>
      <c r="G257" s="2" t="s">
        <v>52</v>
      </c>
      <c r="H257" s="2" t="s">
        <v>1231</v>
      </c>
      <c r="I257" s="2" t="n">
        <v>12</v>
      </c>
      <c r="J257" s="2" t="n">
        <v>4</v>
      </c>
      <c r="K257" s="2" t="s">
        <v>813</v>
      </c>
      <c r="L257" s="2"/>
      <c r="M257" s="2"/>
      <c r="N257" s="2"/>
      <c r="O257" s="3"/>
      <c r="P257" s="2" t="s">
        <v>164</v>
      </c>
      <c r="Q257" s="2" t="s">
        <v>165</v>
      </c>
      <c r="R257" s="2" t="s">
        <v>166</v>
      </c>
      <c r="S257" s="2" t="s">
        <v>1770</v>
      </c>
      <c r="T257" s="3" t="s">
        <v>1771</v>
      </c>
      <c r="U257" s="3"/>
      <c r="V257" s="3" t="s">
        <v>1772</v>
      </c>
      <c r="W257" s="3" t="s">
        <v>1773</v>
      </c>
      <c r="X257" s="2" t="n">
        <v>16</v>
      </c>
      <c r="Y257" s="2" t="n">
        <v>4</v>
      </c>
      <c r="Z257" s="2" t="s">
        <v>47</v>
      </c>
      <c r="AA257" s="3"/>
      <c r="AB257" s="5"/>
      <c r="AC257" s="5"/>
      <c r="AD257" s="3" t="s">
        <v>1774</v>
      </c>
      <c r="AE257" s="3" t="s">
        <v>1775</v>
      </c>
    </row>
    <row r="258" customFormat="false" ht="60" hidden="false" customHeight="true" outlineLevel="0" collapsed="false">
      <c r="A258" s="2" t="s">
        <v>1776</v>
      </c>
      <c r="B258" s="2" t="n">
        <v>2024</v>
      </c>
      <c r="C258" s="2" t="s">
        <v>32</v>
      </c>
      <c r="D258" s="2" t="s">
        <v>33</v>
      </c>
      <c r="E258" s="2" t="s">
        <v>34</v>
      </c>
      <c r="F258" s="2" t="n">
        <v>1</v>
      </c>
      <c r="G258" s="2" t="s">
        <v>35</v>
      </c>
      <c r="H258" s="2"/>
      <c r="I258" s="2" t="n">
        <v>2</v>
      </c>
      <c r="J258" s="2" t="n">
        <v>0</v>
      </c>
      <c r="K258" s="2" t="s">
        <v>252</v>
      </c>
      <c r="L258" s="2"/>
      <c r="M258" s="2"/>
      <c r="N258" s="2"/>
      <c r="O258" s="3"/>
      <c r="P258" s="2" t="s">
        <v>594</v>
      </c>
      <c r="Q258" s="2" t="s">
        <v>595</v>
      </c>
      <c r="R258" s="2" t="s">
        <v>1242</v>
      </c>
      <c r="S258" s="2" t="s">
        <v>1696</v>
      </c>
      <c r="T258" s="3" t="s">
        <v>1777</v>
      </c>
      <c r="U258" s="3" t="s">
        <v>1778</v>
      </c>
      <c r="V258" s="3" t="s">
        <v>1779</v>
      </c>
      <c r="W258" s="2" t="s">
        <v>1780</v>
      </c>
      <c r="X258" s="2" t="n">
        <v>8</v>
      </c>
      <c r="Y258" s="2" t="n">
        <v>3</v>
      </c>
      <c r="Z258" s="2" t="s">
        <v>47</v>
      </c>
      <c r="AA258" s="3"/>
      <c r="AB258" s="5"/>
      <c r="AC258" s="5"/>
      <c r="AD258" s="3"/>
      <c r="AE258" s="3" t="s">
        <v>1781</v>
      </c>
    </row>
    <row r="259" customFormat="false" ht="60" hidden="false" customHeight="true" outlineLevel="0" collapsed="false">
      <c r="A259" s="2" t="s">
        <v>1782</v>
      </c>
      <c r="B259" s="2" t="n">
        <v>2024</v>
      </c>
      <c r="C259" s="2" t="s">
        <v>32</v>
      </c>
      <c r="D259" s="2" t="s">
        <v>33</v>
      </c>
      <c r="E259" s="2" t="s">
        <v>34</v>
      </c>
      <c r="F259" s="2" t="n">
        <v>1</v>
      </c>
      <c r="G259" s="2" t="s">
        <v>52</v>
      </c>
      <c r="H259" s="2"/>
      <c r="I259" s="2" t="n">
        <v>2</v>
      </c>
      <c r="J259" s="2" t="n">
        <v>0</v>
      </c>
      <c r="K259" s="2" t="s">
        <v>1361</v>
      </c>
      <c r="L259" s="2"/>
      <c r="M259" s="2" t="s">
        <v>37</v>
      </c>
      <c r="N259" s="2"/>
      <c r="O259" s="3" t="s">
        <v>73</v>
      </c>
      <c r="P259" s="2" t="s">
        <v>106</v>
      </c>
      <c r="Q259" s="2" t="s">
        <v>107</v>
      </c>
      <c r="R259" s="2" t="s">
        <v>425</v>
      </c>
      <c r="S259" s="2" t="s">
        <v>1783</v>
      </c>
      <c r="T259" s="3" t="s">
        <v>1784</v>
      </c>
      <c r="U259" s="3" t="s">
        <v>1778</v>
      </c>
      <c r="V259" s="3" t="s">
        <v>1785</v>
      </c>
      <c r="W259" s="2" t="s">
        <v>1786</v>
      </c>
      <c r="X259" s="2" t="n">
        <v>8</v>
      </c>
      <c r="Y259" s="2" t="n">
        <v>3</v>
      </c>
      <c r="Z259" s="2" t="s">
        <v>47</v>
      </c>
      <c r="AA259" s="3"/>
      <c r="AB259" s="5"/>
      <c r="AC259" s="5"/>
      <c r="AD259" s="3" t="s">
        <v>1787</v>
      </c>
      <c r="AE259" s="3" t="s">
        <v>1788</v>
      </c>
    </row>
    <row r="260" customFormat="false" ht="60" hidden="false" customHeight="true" outlineLevel="0" collapsed="false">
      <c r="A260" s="2" t="s">
        <v>1789</v>
      </c>
      <c r="B260" s="2" t="n">
        <v>2024</v>
      </c>
      <c r="C260" s="2" t="s">
        <v>32</v>
      </c>
      <c r="D260" s="2" t="s">
        <v>33</v>
      </c>
      <c r="E260" s="2" t="s">
        <v>34</v>
      </c>
      <c r="F260" s="2" t="n">
        <v>1</v>
      </c>
      <c r="G260" s="2" t="s">
        <v>63</v>
      </c>
      <c r="H260" s="2"/>
      <c r="I260" s="2" t="n">
        <v>4</v>
      </c>
      <c r="J260" s="2" t="n">
        <v>1</v>
      </c>
      <c r="K260" s="2" t="s">
        <v>86</v>
      </c>
      <c r="L260" s="2"/>
      <c r="M260" s="2" t="s">
        <v>37</v>
      </c>
      <c r="N260" s="2"/>
      <c r="O260" s="3" t="s">
        <v>73</v>
      </c>
      <c r="P260" s="2" t="s">
        <v>142</v>
      </c>
      <c r="Q260" s="2" t="s">
        <v>143</v>
      </c>
      <c r="R260" s="2" t="s">
        <v>144</v>
      </c>
      <c r="S260" s="2" t="s">
        <v>1790</v>
      </c>
      <c r="T260" s="3" t="s">
        <v>1791</v>
      </c>
      <c r="U260" s="3" t="s">
        <v>1778</v>
      </c>
      <c r="V260" s="3" t="s">
        <v>1792</v>
      </c>
      <c r="W260" s="3" t="s">
        <v>1793</v>
      </c>
      <c r="X260" s="2" t="n">
        <v>8</v>
      </c>
      <c r="Y260" s="2" t="n">
        <v>3</v>
      </c>
      <c r="Z260" s="2" t="s">
        <v>47</v>
      </c>
      <c r="AA260" s="3"/>
      <c r="AB260" s="5"/>
      <c r="AC260" s="5"/>
      <c r="AD260" s="3" t="s">
        <v>1794</v>
      </c>
      <c r="AE260" s="3" t="s">
        <v>1795</v>
      </c>
    </row>
    <row r="261" customFormat="false" ht="60" hidden="false" customHeight="true" outlineLevel="0" collapsed="false">
      <c r="A261" s="2" t="s">
        <v>1796</v>
      </c>
      <c r="B261" s="2" t="n">
        <v>2024</v>
      </c>
      <c r="C261" s="2" t="s">
        <v>32</v>
      </c>
      <c r="D261" s="2" t="s">
        <v>33</v>
      </c>
      <c r="E261" s="2" t="s">
        <v>34</v>
      </c>
      <c r="F261" s="2" t="n">
        <v>1</v>
      </c>
      <c r="G261" s="2" t="s">
        <v>72</v>
      </c>
      <c r="H261" s="2"/>
      <c r="I261" s="2" t="n">
        <v>6</v>
      </c>
      <c r="J261" s="2" t="n">
        <v>2</v>
      </c>
      <c r="K261" s="2" t="s">
        <v>813</v>
      </c>
      <c r="L261" s="2"/>
      <c r="M261" s="2"/>
      <c r="N261" s="2"/>
      <c r="O261" s="3"/>
      <c r="P261" s="2" t="s">
        <v>1266</v>
      </c>
      <c r="Q261" s="2" t="s">
        <v>1267</v>
      </c>
      <c r="R261" s="2" t="s">
        <v>1268</v>
      </c>
      <c r="S261" s="2" t="s">
        <v>1289</v>
      </c>
      <c r="T261" s="3" t="s">
        <v>1797</v>
      </c>
      <c r="U261" s="3" t="s">
        <v>1778</v>
      </c>
      <c r="V261" s="3" t="s">
        <v>1798</v>
      </c>
      <c r="W261" s="3" t="s">
        <v>1799</v>
      </c>
      <c r="X261" s="2" t="n">
        <v>8</v>
      </c>
      <c r="Y261" s="2" t="n">
        <v>3</v>
      </c>
      <c r="Z261" s="2" t="s">
        <v>47</v>
      </c>
      <c r="AA261" s="3"/>
      <c r="AB261" s="5"/>
      <c r="AC261" s="5"/>
      <c r="AD261" s="3"/>
      <c r="AE261" s="3" t="s">
        <v>1800</v>
      </c>
    </row>
    <row r="262" customFormat="false" ht="60" hidden="false" customHeight="true" outlineLevel="0" collapsed="false">
      <c r="A262" s="2" t="s">
        <v>1801</v>
      </c>
      <c r="B262" s="2" t="n">
        <v>2024</v>
      </c>
      <c r="C262" s="2" t="s">
        <v>32</v>
      </c>
      <c r="D262" s="2" t="s">
        <v>33</v>
      </c>
      <c r="E262" s="2" t="s">
        <v>34</v>
      </c>
      <c r="F262" s="2" t="n">
        <v>1</v>
      </c>
      <c r="G262" s="2" t="s">
        <v>84</v>
      </c>
      <c r="H262" s="2"/>
      <c r="I262" s="2" t="n">
        <v>6</v>
      </c>
      <c r="J262" s="2" t="n">
        <v>2</v>
      </c>
      <c r="K262" s="2" t="s">
        <v>813</v>
      </c>
      <c r="L262" s="2"/>
      <c r="M262" s="2"/>
      <c r="N262" s="2"/>
      <c r="O262" s="3"/>
      <c r="P262" s="2" t="s">
        <v>193</v>
      </c>
      <c r="Q262" s="2" t="s">
        <v>194</v>
      </c>
      <c r="R262" s="2" t="s">
        <v>528</v>
      </c>
      <c r="S262" s="2" t="s">
        <v>529</v>
      </c>
      <c r="T262" s="3" t="s">
        <v>1802</v>
      </c>
      <c r="U262" s="3" t="s">
        <v>1778</v>
      </c>
      <c r="V262" s="3" t="s">
        <v>1803</v>
      </c>
      <c r="W262" s="3" t="s">
        <v>1804</v>
      </c>
      <c r="X262" s="2" t="n">
        <v>9</v>
      </c>
      <c r="Y262" s="2" t="n">
        <v>3</v>
      </c>
      <c r="Z262" s="2" t="s">
        <v>47</v>
      </c>
      <c r="AA262" s="3"/>
      <c r="AB262" s="5"/>
      <c r="AC262" s="5"/>
      <c r="AD262" s="3"/>
      <c r="AE262" s="3" t="s">
        <v>1805</v>
      </c>
    </row>
    <row r="263" customFormat="false" ht="60" hidden="false" customHeight="true" outlineLevel="0" collapsed="false">
      <c r="A263" s="2" t="s">
        <v>1806</v>
      </c>
      <c r="B263" s="2" t="n">
        <v>2024</v>
      </c>
      <c r="C263" s="2" t="s">
        <v>32</v>
      </c>
      <c r="D263" s="2" t="s">
        <v>33</v>
      </c>
      <c r="E263" s="2" t="s">
        <v>104</v>
      </c>
      <c r="F263" s="2" t="n">
        <v>2</v>
      </c>
      <c r="G263" s="2" t="s">
        <v>35</v>
      </c>
      <c r="H263" s="2" t="s">
        <v>1199</v>
      </c>
      <c r="I263" s="2" t="n">
        <v>8</v>
      </c>
      <c r="J263" s="2" t="n">
        <v>2</v>
      </c>
      <c r="K263" s="2" t="s">
        <v>64</v>
      </c>
      <c r="L263" s="2" t="s">
        <v>86</v>
      </c>
      <c r="M263" s="2" t="s">
        <v>37</v>
      </c>
      <c r="N263" s="2"/>
      <c r="O263" s="3" t="s">
        <v>1402</v>
      </c>
      <c r="P263" s="2" t="s">
        <v>151</v>
      </c>
      <c r="Q263" s="2" t="s">
        <v>152</v>
      </c>
      <c r="R263" s="2" t="s">
        <v>1807</v>
      </c>
      <c r="S263" s="2" t="s">
        <v>1808</v>
      </c>
      <c r="T263" s="3" t="s">
        <v>1809</v>
      </c>
      <c r="U263" s="3"/>
      <c r="V263" s="3" t="s">
        <v>1810</v>
      </c>
      <c r="W263" s="3" t="s">
        <v>1811</v>
      </c>
      <c r="X263" s="2" t="n">
        <v>10</v>
      </c>
      <c r="Y263" s="2" t="n">
        <v>4</v>
      </c>
      <c r="Z263" s="2" t="s">
        <v>47</v>
      </c>
      <c r="AA263" s="3"/>
      <c r="AB263" s="5"/>
      <c r="AC263" s="5"/>
      <c r="AD263" s="3" t="s">
        <v>1812</v>
      </c>
      <c r="AE263" s="3" t="s">
        <v>1813</v>
      </c>
    </row>
    <row r="264" customFormat="false" ht="60" hidden="false" customHeight="true" outlineLevel="0" collapsed="false">
      <c r="A264" s="2" t="s">
        <v>1814</v>
      </c>
      <c r="B264" s="2" t="n">
        <v>2024</v>
      </c>
      <c r="C264" s="2" t="s">
        <v>32</v>
      </c>
      <c r="D264" s="2" t="s">
        <v>33</v>
      </c>
      <c r="E264" s="2" t="s">
        <v>104</v>
      </c>
      <c r="F264" s="2" t="n">
        <v>2</v>
      </c>
      <c r="G264" s="2" t="s">
        <v>52</v>
      </c>
      <c r="H264" s="2" t="s">
        <v>1199</v>
      </c>
      <c r="I264" s="2" t="n">
        <v>12</v>
      </c>
      <c r="J264" s="2" t="n">
        <v>4</v>
      </c>
      <c r="K264" s="2" t="s">
        <v>813</v>
      </c>
      <c r="L264" s="2"/>
      <c r="M264" s="2"/>
      <c r="N264" s="2"/>
      <c r="O264" s="3"/>
      <c r="P264" s="2" t="s">
        <v>151</v>
      </c>
      <c r="Q264" s="2" t="s">
        <v>152</v>
      </c>
      <c r="R264" s="2" t="s">
        <v>281</v>
      </c>
      <c r="S264" s="2" t="s">
        <v>1815</v>
      </c>
      <c r="T264" s="3" t="s">
        <v>1816</v>
      </c>
      <c r="U264" s="3"/>
      <c r="V264" s="3" t="s">
        <v>1817</v>
      </c>
      <c r="W264" s="3" t="s">
        <v>1818</v>
      </c>
      <c r="X264" s="2" t="n">
        <v>11</v>
      </c>
      <c r="Y264" s="2" t="n">
        <v>4</v>
      </c>
      <c r="Z264" s="2" t="s">
        <v>47</v>
      </c>
      <c r="AA264" s="3"/>
      <c r="AB264" s="5"/>
      <c r="AC264" s="5"/>
      <c r="AD264" s="3" t="s">
        <v>1819</v>
      </c>
      <c r="AE264" s="3" t="s">
        <v>1820</v>
      </c>
    </row>
    <row r="265" customFormat="false" ht="60" hidden="false" customHeight="true" outlineLevel="0" collapsed="false">
      <c r="A265" s="2" t="s">
        <v>1821</v>
      </c>
      <c r="B265" s="2" t="n">
        <v>2024</v>
      </c>
      <c r="C265" s="2" t="s">
        <v>32</v>
      </c>
      <c r="D265" s="2" t="s">
        <v>33</v>
      </c>
      <c r="E265" s="2" t="s">
        <v>104</v>
      </c>
      <c r="F265" s="2" t="n">
        <v>3</v>
      </c>
      <c r="G265" s="2" t="s">
        <v>35</v>
      </c>
      <c r="H265" s="2" t="s">
        <v>1199</v>
      </c>
      <c r="I265" s="2" t="n">
        <v>8</v>
      </c>
      <c r="J265" s="2" t="n">
        <v>2</v>
      </c>
      <c r="K265" s="2" t="s">
        <v>64</v>
      </c>
      <c r="L265" s="2" t="s">
        <v>86</v>
      </c>
      <c r="M265" s="2"/>
      <c r="N265" s="2"/>
      <c r="O265" s="3" t="s">
        <v>232</v>
      </c>
      <c r="P265" s="2" t="s">
        <v>124</v>
      </c>
      <c r="Q265" s="2" t="s">
        <v>125</v>
      </c>
      <c r="R265" s="2" t="s">
        <v>126</v>
      </c>
      <c r="S265" s="2" t="s">
        <v>1822</v>
      </c>
      <c r="T265" s="3" t="s">
        <v>1823</v>
      </c>
      <c r="U265" s="3"/>
      <c r="V265" s="3" t="s">
        <v>1824</v>
      </c>
      <c r="W265" s="3" t="s">
        <v>1825</v>
      </c>
      <c r="X265" s="2" t="n">
        <v>12</v>
      </c>
      <c r="Y265" s="2" t="n">
        <v>4</v>
      </c>
      <c r="Z265" s="2" t="s">
        <v>47</v>
      </c>
      <c r="AA265" s="3"/>
      <c r="AB265" s="5"/>
      <c r="AC265" s="5"/>
      <c r="AD265" s="3" t="s">
        <v>1826</v>
      </c>
      <c r="AE265" s="3" t="s">
        <v>1827</v>
      </c>
    </row>
    <row r="266" customFormat="false" ht="60" hidden="false" customHeight="true" outlineLevel="0" collapsed="false">
      <c r="A266" s="2" t="s">
        <v>1828</v>
      </c>
      <c r="B266" s="2" t="n">
        <v>2024</v>
      </c>
      <c r="C266" s="2" t="s">
        <v>32</v>
      </c>
      <c r="D266" s="2" t="s">
        <v>33</v>
      </c>
      <c r="E266" s="2" t="s">
        <v>104</v>
      </c>
      <c r="F266" s="2" t="n">
        <v>3</v>
      </c>
      <c r="G266" s="2" t="s">
        <v>52</v>
      </c>
      <c r="H266" s="2" t="s">
        <v>1199</v>
      </c>
      <c r="I266" s="2" t="n">
        <v>12</v>
      </c>
      <c r="J266" s="2" t="n">
        <v>4</v>
      </c>
      <c r="K266" s="2" t="s">
        <v>813</v>
      </c>
      <c r="L266" s="2"/>
      <c r="M266" s="2"/>
      <c r="N266" s="2"/>
      <c r="O266" s="3"/>
      <c r="P266" s="2" t="s">
        <v>124</v>
      </c>
      <c r="Q266" s="2" t="s">
        <v>125</v>
      </c>
      <c r="R266" s="2" t="s">
        <v>451</v>
      </c>
      <c r="S266" s="2" t="s">
        <v>452</v>
      </c>
      <c r="T266" s="3" t="s">
        <v>453</v>
      </c>
      <c r="U266" s="3"/>
      <c r="V266" s="3" t="s">
        <v>1829</v>
      </c>
      <c r="W266" s="3" t="s">
        <v>1830</v>
      </c>
      <c r="X266" s="2" t="n">
        <v>13</v>
      </c>
      <c r="Y266" s="2" t="n">
        <v>4</v>
      </c>
      <c r="Z266" s="2" t="s">
        <v>47</v>
      </c>
      <c r="AA266" s="3"/>
      <c r="AB266" s="5"/>
      <c r="AC266" s="5"/>
      <c r="AD266" s="3" t="s">
        <v>1831</v>
      </c>
      <c r="AE266" s="3" t="s">
        <v>1832</v>
      </c>
    </row>
    <row r="267" customFormat="false" ht="60" hidden="false" customHeight="true" outlineLevel="0" collapsed="false">
      <c r="A267" s="2" t="s">
        <v>1833</v>
      </c>
      <c r="B267" s="2" t="n">
        <v>2024</v>
      </c>
      <c r="C267" s="2" t="s">
        <v>32</v>
      </c>
      <c r="D267" s="2" t="s">
        <v>33</v>
      </c>
      <c r="E267" s="2" t="s">
        <v>1230</v>
      </c>
      <c r="F267" s="2" t="n">
        <v>4</v>
      </c>
      <c r="G267" s="2" t="s">
        <v>35</v>
      </c>
      <c r="H267" s="2" t="s">
        <v>1231</v>
      </c>
      <c r="I267" s="2" t="n">
        <v>8</v>
      </c>
      <c r="J267" s="2" t="n">
        <v>2</v>
      </c>
      <c r="K267" s="2" t="s">
        <v>64</v>
      </c>
      <c r="L267" s="2" t="s">
        <v>86</v>
      </c>
      <c r="M267" s="2"/>
      <c r="N267" s="2"/>
      <c r="O267" s="3"/>
      <c r="P267" s="2" t="s">
        <v>74</v>
      </c>
      <c r="Q267" s="2" t="s">
        <v>75</v>
      </c>
      <c r="R267" s="2" t="s">
        <v>239</v>
      </c>
      <c r="S267" s="2" t="s">
        <v>1834</v>
      </c>
      <c r="T267" s="3" t="s">
        <v>1835</v>
      </c>
      <c r="U267" s="3"/>
      <c r="V267" s="3" t="s">
        <v>1836</v>
      </c>
      <c r="W267" s="3" t="s">
        <v>1837</v>
      </c>
      <c r="X267" s="2" t="n">
        <v>14</v>
      </c>
      <c r="Y267" s="2" t="n">
        <v>4</v>
      </c>
      <c r="Z267" s="2" t="s">
        <v>47</v>
      </c>
      <c r="AA267" s="3"/>
      <c r="AB267" s="5"/>
      <c r="AC267" s="5"/>
      <c r="AD267" s="3" t="s">
        <v>1838</v>
      </c>
      <c r="AE267" s="3" t="s">
        <v>1839</v>
      </c>
    </row>
    <row r="268" customFormat="false" ht="60" hidden="false" customHeight="true" outlineLevel="0" collapsed="false">
      <c r="A268" s="2" t="s">
        <v>1840</v>
      </c>
      <c r="B268" s="2" t="n">
        <v>2024</v>
      </c>
      <c r="C268" s="2" t="s">
        <v>32</v>
      </c>
      <c r="D268" s="2" t="s">
        <v>33</v>
      </c>
      <c r="E268" s="2" t="s">
        <v>1230</v>
      </c>
      <c r="F268" s="2" t="n">
        <v>4</v>
      </c>
      <c r="G268" s="2" t="s">
        <v>52</v>
      </c>
      <c r="H268" s="2" t="s">
        <v>1231</v>
      </c>
      <c r="I268" s="2" t="n">
        <v>12</v>
      </c>
      <c r="J268" s="2" t="n">
        <v>4</v>
      </c>
      <c r="K268" s="2" t="s">
        <v>813</v>
      </c>
      <c r="L268" s="2"/>
      <c r="M268" s="2"/>
      <c r="N268" s="2"/>
      <c r="O268" s="3" t="s">
        <v>308</v>
      </c>
      <c r="P268" s="2" t="s">
        <v>466</v>
      </c>
      <c r="Q268" s="2" t="s">
        <v>467</v>
      </c>
      <c r="R268" s="2" t="s">
        <v>1841</v>
      </c>
      <c r="S268" s="2" t="s">
        <v>1842</v>
      </c>
      <c r="T268" s="3" t="s">
        <v>1843</v>
      </c>
      <c r="U268" s="3"/>
      <c r="V268" s="3" t="s">
        <v>1844</v>
      </c>
      <c r="W268" s="3" t="s">
        <v>1845</v>
      </c>
      <c r="X268" s="2" t="n">
        <v>15</v>
      </c>
      <c r="Y268" s="2" t="n">
        <v>4</v>
      </c>
      <c r="Z268" s="2" t="s">
        <v>47</v>
      </c>
      <c r="AA268" s="3"/>
      <c r="AB268" s="5"/>
      <c r="AC268" s="5"/>
      <c r="AD268" s="3" t="s">
        <v>1846</v>
      </c>
      <c r="AE268" s="3" t="s">
        <v>1847</v>
      </c>
    </row>
    <row r="269" customFormat="false" ht="60" hidden="false" customHeight="true" outlineLevel="0" collapsed="false">
      <c r="A269" s="2" t="s">
        <v>1848</v>
      </c>
      <c r="B269" s="2" t="n">
        <v>2024</v>
      </c>
      <c r="C269" s="2" t="s">
        <v>32</v>
      </c>
      <c r="D269" s="2" t="s">
        <v>33</v>
      </c>
      <c r="E269" s="2" t="s">
        <v>1230</v>
      </c>
      <c r="F269" s="2" t="n">
        <v>5</v>
      </c>
      <c r="G269" s="2" t="s">
        <v>35</v>
      </c>
      <c r="H269" s="2" t="s">
        <v>1231</v>
      </c>
      <c r="I269" s="2" t="n">
        <v>8</v>
      </c>
      <c r="J269" s="2" t="n">
        <v>2</v>
      </c>
      <c r="K269" s="2" t="s">
        <v>64</v>
      </c>
      <c r="L269" s="2" t="s">
        <v>86</v>
      </c>
      <c r="M269" s="2" t="s">
        <v>37</v>
      </c>
      <c r="N269" s="2"/>
      <c r="O269" s="3" t="s">
        <v>1250</v>
      </c>
      <c r="P269" s="2" t="s">
        <v>87</v>
      </c>
      <c r="Q269" s="2" t="s">
        <v>88</v>
      </c>
      <c r="R269" s="2" t="s">
        <v>1849</v>
      </c>
      <c r="S269" s="2" t="s">
        <v>1850</v>
      </c>
      <c r="T269" s="3" t="s">
        <v>1851</v>
      </c>
      <c r="U269" s="3"/>
      <c r="V269" s="3" t="s">
        <v>1852</v>
      </c>
      <c r="W269" s="3" t="s">
        <v>1853</v>
      </c>
      <c r="X269" s="2" t="n">
        <v>16</v>
      </c>
      <c r="Y269" s="2" t="n">
        <v>4</v>
      </c>
      <c r="Z269" s="2" t="s">
        <v>47</v>
      </c>
      <c r="AA269" s="3"/>
      <c r="AB269" s="5"/>
      <c r="AC269" s="5"/>
      <c r="AD269" s="3"/>
      <c r="AE269" s="3" t="s">
        <v>1854</v>
      </c>
    </row>
    <row r="270" customFormat="false" ht="60" hidden="false" customHeight="true" outlineLevel="0" collapsed="false">
      <c r="A270" s="2" t="s">
        <v>1855</v>
      </c>
      <c r="B270" s="2" t="n">
        <v>2024</v>
      </c>
      <c r="C270" s="2" t="s">
        <v>32</v>
      </c>
      <c r="D270" s="2" t="s">
        <v>33</v>
      </c>
      <c r="E270" s="2" t="s">
        <v>1230</v>
      </c>
      <c r="F270" s="2" t="n">
        <v>5</v>
      </c>
      <c r="G270" s="2" t="s">
        <v>52</v>
      </c>
      <c r="H270" s="2" t="s">
        <v>1231</v>
      </c>
      <c r="I270" s="2" t="n">
        <v>12</v>
      </c>
      <c r="J270" s="2" t="n">
        <v>4</v>
      </c>
      <c r="K270" s="2" t="s">
        <v>813</v>
      </c>
      <c r="L270" s="2"/>
      <c r="M270" s="2"/>
      <c r="N270" s="2"/>
      <c r="O270" s="3" t="s">
        <v>527</v>
      </c>
      <c r="P270" s="2" t="s">
        <v>594</v>
      </c>
      <c r="Q270" s="2" t="s">
        <v>595</v>
      </c>
      <c r="R270" s="2" t="s">
        <v>1242</v>
      </c>
      <c r="S270" s="2" t="s">
        <v>1243</v>
      </c>
      <c r="T270" s="3" t="s">
        <v>1244</v>
      </c>
      <c r="U270" s="3"/>
      <c r="V270" s="3" t="s">
        <v>1856</v>
      </c>
      <c r="W270" s="3" t="s">
        <v>1857</v>
      </c>
      <c r="X270" s="2" t="n">
        <v>17</v>
      </c>
      <c r="Y270" s="2" t="n">
        <v>4</v>
      </c>
      <c r="Z270" s="2" t="s">
        <v>47</v>
      </c>
      <c r="AA270" s="3"/>
      <c r="AB270" s="5"/>
      <c r="AC270" s="5"/>
      <c r="AD270" s="3" t="s">
        <v>1858</v>
      </c>
      <c r="AE270" s="3" t="s">
        <v>1859</v>
      </c>
    </row>
    <row r="271" customFormat="false" ht="60" hidden="false" customHeight="true" outlineLevel="0" collapsed="false">
      <c r="A271" s="2" t="s">
        <v>1860</v>
      </c>
      <c r="B271" s="2" t="n">
        <v>2024</v>
      </c>
      <c r="C271" s="2" t="s">
        <v>160</v>
      </c>
      <c r="D271" s="2" t="s">
        <v>161</v>
      </c>
      <c r="E271" s="2" t="s">
        <v>34</v>
      </c>
      <c r="F271" s="2" t="n">
        <v>1</v>
      </c>
      <c r="G271" s="2" t="s">
        <v>162</v>
      </c>
      <c r="H271" s="2"/>
      <c r="I271" s="2" t="n">
        <v>1</v>
      </c>
      <c r="J271" s="2" t="n">
        <v>0</v>
      </c>
      <c r="K271" s="2" t="s">
        <v>53</v>
      </c>
      <c r="L271" s="2"/>
      <c r="M271" s="2"/>
      <c r="N271" s="2"/>
      <c r="O271" s="3"/>
      <c r="P271" s="2" t="s">
        <v>164</v>
      </c>
      <c r="Q271" s="2" t="s">
        <v>165</v>
      </c>
      <c r="R271" s="2" t="s">
        <v>166</v>
      </c>
      <c r="S271" s="2" t="s">
        <v>167</v>
      </c>
      <c r="T271" s="3" t="s">
        <v>1861</v>
      </c>
      <c r="U271" s="3" t="s">
        <v>1862</v>
      </c>
      <c r="V271" s="3" t="s">
        <v>1863</v>
      </c>
      <c r="W271" s="2" t="s">
        <v>1864</v>
      </c>
      <c r="X271" s="2" t="n">
        <v>7</v>
      </c>
      <c r="Y271" s="2" t="n">
        <v>3</v>
      </c>
      <c r="Z271" s="2" t="s">
        <v>47</v>
      </c>
      <c r="AA271" s="3"/>
      <c r="AB271" s="5"/>
      <c r="AC271" s="5"/>
      <c r="AD271" s="3" t="s">
        <v>1865</v>
      </c>
      <c r="AE271" s="3" t="s">
        <v>1866</v>
      </c>
    </row>
    <row r="272" customFormat="false" ht="60" hidden="false" customHeight="true" outlineLevel="0" collapsed="false">
      <c r="A272" s="2" t="s">
        <v>1867</v>
      </c>
      <c r="B272" s="2" t="n">
        <v>2024</v>
      </c>
      <c r="C272" s="2" t="s">
        <v>160</v>
      </c>
      <c r="D272" s="2" t="s">
        <v>161</v>
      </c>
      <c r="E272" s="2" t="s">
        <v>34</v>
      </c>
      <c r="F272" s="2" t="n">
        <v>1</v>
      </c>
      <c r="G272" s="2" t="s">
        <v>174</v>
      </c>
      <c r="H272" s="2"/>
      <c r="I272" s="2" t="n">
        <v>1</v>
      </c>
      <c r="J272" s="2" t="n">
        <v>0</v>
      </c>
      <c r="K272" s="2" t="s">
        <v>36</v>
      </c>
      <c r="L272" s="2"/>
      <c r="M272" s="2"/>
      <c r="N272" s="2" t="s">
        <v>37</v>
      </c>
      <c r="O272" s="3" t="s">
        <v>38</v>
      </c>
      <c r="P272" s="2" t="s">
        <v>164</v>
      </c>
      <c r="Q272" s="2" t="s">
        <v>165</v>
      </c>
      <c r="R272" s="2" t="s">
        <v>166</v>
      </c>
      <c r="S272" s="2" t="s">
        <v>167</v>
      </c>
      <c r="T272" s="3" t="s">
        <v>1868</v>
      </c>
      <c r="U272" s="3" t="s">
        <v>1862</v>
      </c>
      <c r="V272" s="3" t="s">
        <v>1869</v>
      </c>
      <c r="W272" s="3" t="s">
        <v>1870</v>
      </c>
      <c r="X272" s="2" t="n">
        <v>7</v>
      </c>
      <c r="Y272" s="2" t="n">
        <v>3</v>
      </c>
      <c r="Z272" s="2" t="s">
        <v>47</v>
      </c>
      <c r="AA272" s="3"/>
      <c r="AB272" s="5"/>
      <c r="AC272" s="5"/>
      <c r="AD272" s="3"/>
      <c r="AE272" s="3" t="s">
        <v>1871</v>
      </c>
    </row>
    <row r="273" customFormat="false" ht="60" hidden="false" customHeight="true" outlineLevel="0" collapsed="false">
      <c r="A273" s="2" t="s">
        <v>1872</v>
      </c>
      <c r="B273" s="2" t="n">
        <v>2024</v>
      </c>
      <c r="C273" s="2" t="s">
        <v>160</v>
      </c>
      <c r="D273" s="2" t="s">
        <v>161</v>
      </c>
      <c r="E273" s="2" t="s">
        <v>34</v>
      </c>
      <c r="F273" s="2" t="n">
        <v>1</v>
      </c>
      <c r="G273" s="2" t="s">
        <v>52</v>
      </c>
      <c r="H273" s="2"/>
      <c r="I273" s="2" t="n">
        <v>2</v>
      </c>
      <c r="J273" s="2" t="n">
        <v>0</v>
      </c>
      <c r="K273" s="2" t="s">
        <v>64</v>
      </c>
      <c r="L273" s="2"/>
      <c r="M273" s="2"/>
      <c r="N273" s="2"/>
      <c r="O273" s="3"/>
      <c r="P273" s="2" t="s">
        <v>193</v>
      </c>
      <c r="Q273" s="2" t="s">
        <v>194</v>
      </c>
      <c r="R273" s="2" t="s">
        <v>528</v>
      </c>
      <c r="S273" s="2" t="s">
        <v>1417</v>
      </c>
      <c r="T273" s="3" t="s">
        <v>1873</v>
      </c>
      <c r="U273" s="3" t="s">
        <v>1862</v>
      </c>
      <c r="V273" s="3" t="s">
        <v>1874</v>
      </c>
      <c r="W273" s="3" t="s">
        <v>1875</v>
      </c>
      <c r="X273" s="2" t="n">
        <v>7</v>
      </c>
      <c r="Y273" s="2" t="n">
        <v>3</v>
      </c>
      <c r="Z273" s="2" t="s">
        <v>47</v>
      </c>
      <c r="AA273" s="3"/>
      <c r="AB273" s="5"/>
      <c r="AC273" s="5"/>
      <c r="AD273" s="3"/>
      <c r="AE273" s="3" t="s">
        <v>1876</v>
      </c>
    </row>
    <row r="274" customFormat="false" ht="60" hidden="false" customHeight="true" outlineLevel="0" collapsed="false">
      <c r="A274" s="2" t="s">
        <v>1877</v>
      </c>
      <c r="B274" s="2" t="n">
        <v>2024</v>
      </c>
      <c r="C274" s="2" t="s">
        <v>160</v>
      </c>
      <c r="D274" s="2" t="s">
        <v>161</v>
      </c>
      <c r="E274" s="2" t="s">
        <v>34</v>
      </c>
      <c r="F274" s="2" t="n">
        <v>1</v>
      </c>
      <c r="G274" s="2" t="s">
        <v>63</v>
      </c>
      <c r="H274" s="2"/>
      <c r="I274" s="2" t="n">
        <v>4</v>
      </c>
      <c r="J274" s="2" t="n">
        <v>1</v>
      </c>
      <c r="K274" s="2" t="s">
        <v>86</v>
      </c>
      <c r="L274" s="2"/>
      <c r="M274" s="2"/>
      <c r="N274" s="2"/>
      <c r="O274" s="3" t="s">
        <v>232</v>
      </c>
      <c r="P274" s="2" t="s">
        <v>74</v>
      </c>
      <c r="Q274" s="2" t="s">
        <v>75</v>
      </c>
      <c r="R274" s="2" t="s">
        <v>459</v>
      </c>
      <c r="S274" s="2" t="s">
        <v>1878</v>
      </c>
      <c r="T274" s="3" t="s">
        <v>1879</v>
      </c>
      <c r="U274" s="3" t="s">
        <v>1862</v>
      </c>
      <c r="V274" s="3" t="s">
        <v>1880</v>
      </c>
      <c r="W274" s="3" t="s">
        <v>1881</v>
      </c>
      <c r="X274" s="2" t="n">
        <v>7</v>
      </c>
      <c r="Y274" s="2" t="n">
        <v>3</v>
      </c>
      <c r="Z274" s="2" t="s">
        <v>47</v>
      </c>
      <c r="AA274" s="3"/>
      <c r="AB274" s="5"/>
      <c r="AC274" s="5"/>
      <c r="AD274" s="3"/>
      <c r="AE274" s="3" t="s">
        <v>1882</v>
      </c>
    </row>
    <row r="275" customFormat="false" ht="60" hidden="false" customHeight="true" outlineLevel="0" collapsed="false">
      <c r="A275" s="2" t="s">
        <v>1883</v>
      </c>
      <c r="B275" s="2" t="n">
        <v>2024</v>
      </c>
      <c r="C275" s="2" t="s">
        <v>160</v>
      </c>
      <c r="D275" s="2" t="s">
        <v>161</v>
      </c>
      <c r="E275" s="2" t="s">
        <v>34</v>
      </c>
      <c r="F275" s="2" t="n">
        <v>1</v>
      </c>
      <c r="G275" s="2" t="s">
        <v>72</v>
      </c>
      <c r="H275" s="2"/>
      <c r="I275" s="2" t="n">
        <v>6</v>
      </c>
      <c r="J275" s="2" t="n">
        <v>2</v>
      </c>
      <c r="K275" s="2" t="s">
        <v>813</v>
      </c>
      <c r="L275" s="2"/>
      <c r="M275" s="2"/>
      <c r="N275" s="2"/>
      <c r="O275" s="3"/>
      <c r="P275" s="2" t="s">
        <v>133</v>
      </c>
      <c r="Q275" s="2" t="s">
        <v>134</v>
      </c>
      <c r="R275" s="2" t="s">
        <v>1884</v>
      </c>
      <c r="S275" s="2" t="s">
        <v>1885</v>
      </c>
      <c r="T275" s="3" t="s">
        <v>1886</v>
      </c>
      <c r="U275" s="3" t="s">
        <v>1862</v>
      </c>
      <c r="V275" s="3" t="s">
        <v>1887</v>
      </c>
      <c r="W275" s="3" t="s">
        <v>1888</v>
      </c>
      <c r="X275" s="2" t="n">
        <v>8</v>
      </c>
      <c r="Y275" s="2" t="n">
        <v>3</v>
      </c>
      <c r="Z275" s="2" t="s">
        <v>47</v>
      </c>
      <c r="AA275" s="3"/>
      <c r="AB275" s="5"/>
      <c r="AC275" s="5"/>
      <c r="AD275" s="3"/>
      <c r="AE275" s="3" t="s">
        <v>1889</v>
      </c>
    </row>
    <row r="276" customFormat="false" ht="60" hidden="false" customHeight="true" outlineLevel="0" collapsed="false">
      <c r="A276" s="2" t="s">
        <v>1890</v>
      </c>
      <c r="B276" s="2" t="n">
        <v>2024</v>
      </c>
      <c r="C276" s="2" t="s">
        <v>160</v>
      </c>
      <c r="D276" s="2" t="s">
        <v>161</v>
      </c>
      <c r="E276" s="2" t="s">
        <v>34</v>
      </c>
      <c r="F276" s="2" t="n">
        <v>1</v>
      </c>
      <c r="G276" s="2" t="s">
        <v>84</v>
      </c>
      <c r="H276" s="2"/>
      <c r="I276" s="2" t="n">
        <v>6</v>
      </c>
      <c r="J276" s="2" t="n">
        <v>2</v>
      </c>
      <c r="K276" s="2" t="s">
        <v>813</v>
      </c>
      <c r="L276" s="2"/>
      <c r="M276" s="2"/>
      <c r="N276" s="2"/>
      <c r="O276" s="3" t="s">
        <v>232</v>
      </c>
      <c r="P276" s="2" t="s">
        <v>115</v>
      </c>
      <c r="Q276" s="2" t="s">
        <v>116</v>
      </c>
      <c r="R276" s="2" t="s">
        <v>1891</v>
      </c>
      <c r="S276" s="2" t="s">
        <v>1892</v>
      </c>
      <c r="T276" s="3" t="s">
        <v>1893</v>
      </c>
      <c r="U276" s="3" t="s">
        <v>1862</v>
      </c>
      <c r="V276" s="3" t="s">
        <v>1894</v>
      </c>
      <c r="W276" s="3" t="s">
        <v>1895</v>
      </c>
      <c r="X276" s="2" t="n">
        <v>8</v>
      </c>
      <c r="Y276" s="2" t="n">
        <v>3</v>
      </c>
      <c r="Z276" s="2" t="s">
        <v>47</v>
      </c>
      <c r="AA276" s="3"/>
      <c r="AB276" s="5"/>
      <c r="AC276" s="5"/>
      <c r="AD276" s="3" t="s">
        <v>1896</v>
      </c>
      <c r="AE276" s="3" t="s">
        <v>1897</v>
      </c>
    </row>
    <row r="277" customFormat="false" ht="60" hidden="false" customHeight="true" outlineLevel="0" collapsed="false">
      <c r="A277" s="2" t="s">
        <v>1898</v>
      </c>
      <c r="B277" s="2" t="n">
        <v>2024</v>
      </c>
      <c r="C277" s="2" t="s">
        <v>160</v>
      </c>
      <c r="D277" s="2" t="s">
        <v>161</v>
      </c>
      <c r="E277" s="2" t="s">
        <v>104</v>
      </c>
      <c r="F277" s="2" t="n">
        <v>2</v>
      </c>
      <c r="G277" s="2" t="s">
        <v>35</v>
      </c>
      <c r="H277" s="2" t="s">
        <v>1199</v>
      </c>
      <c r="I277" s="2" t="n">
        <v>8</v>
      </c>
      <c r="J277" s="2" t="n">
        <v>2</v>
      </c>
      <c r="K277" s="2" t="s">
        <v>64</v>
      </c>
      <c r="L277" s="2" t="s">
        <v>86</v>
      </c>
      <c r="M277" s="2"/>
      <c r="N277" s="2"/>
      <c r="O277" s="3" t="s">
        <v>527</v>
      </c>
      <c r="P277" s="2" t="s">
        <v>209</v>
      </c>
      <c r="Q277" s="2" t="s">
        <v>210</v>
      </c>
      <c r="R277" s="2" t="s">
        <v>1130</v>
      </c>
      <c r="S277" s="2" t="s">
        <v>1899</v>
      </c>
      <c r="T277" s="3" t="s">
        <v>1900</v>
      </c>
      <c r="U277" s="3"/>
      <c r="V277" s="3" t="s">
        <v>1901</v>
      </c>
      <c r="W277" s="3" t="s">
        <v>1902</v>
      </c>
      <c r="X277" s="2" t="n">
        <v>9</v>
      </c>
      <c r="Y277" s="2" t="n">
        <v>3</v>
      </c>
      <c r="Z277" s="2" t="s">
        <v>47</v>
      </c>
      <c r="AA277" s="3"/>
      <c r="AB277" s="5"/>
      <c r="AC277" s="5"/>
      <c r="AD277" s="3" t="s">
        <v>1903</v>
      </c>
      <c r="AE277" s="3" t="s">
        <v>1904</v>
      </c>
    </row>
    <row r="278" customFormat="false" ht="60" hidden="false" customHeight="true" outlineLevel="0" collapsed="false">
      <c r="A278" s="2" t="s">
        <v>1905</v>
      </c>
      <c r="B278" s="2" t="n">
        <v>2024</v>
      </c>
      <c r="C278" s="2" t="s">
        <v>160</v>
      </c>
      <c r="D278" s="2" t="s">
        <v>161</v>
      </c>
      <c r="E278" s="2" t="s">
        <v>104</v>
      </c>
      <c r="F278" s="2" t="n">
        <v>2</v>
      </c>
      <c r="G278" s="2" t="s">
        <v>52</v>
      </c>
      <c r="H278" s="2" t="s">
        <v>1199</v>
      </c>
      <c r="I278" s="2" t="n">
        <v>12</v>
      </c>
      <c r="J278" s="2" t="n">
        <v>4</v>
      </c>
      <c r="K278" s="2" t="s">
        <v>813</v>
      </c>
      <c r="L278" s="2"/>
      <c r="M278" s="2"/>
      <c r="N278" s="2"/>
      <c r="O278" s="3" t="s">
        <v>527</v>
      </c>
      <c r="P278" s="2" t="s">
        <v>433</v>
      </c>
      <c r="Q278" s="2" t="s">
        <v>434</v>
      </c>
      <c r="R278" s="2" t="s">
        <v>435</v>
      </c>
      <c r="S278" s="2" t="s">
        <v>436</v>
      </c>
      <c r="T278" s="3" t="s">
        <v>1906</v>
      </c>
      <c r="U278" s="3"/>
      <c r="V278" s="3" t="s">
        <v>1907</v>
      </c>
      <c r="W278" s="3" t="s">
        <v>1908</v>
      </c>
      <c r="X278" s="2" t="n">
        <v>10</v>
      </c>
      <c r="Y278" s="2" t="n">
        <v>3</v>
      </c>
      <c r="Z278" s="2" t="s">
        <v>47</v>
      </c>
      <c r="AA278" s="3"/>
      <c r="AB278" s="5"/>
      <c r="AC278" s="5"/>
      <c r="AD278" s="3" t="s">
        <v>1909</v>
      </c>
      <c r="AE278" s="3" t="s">
        <v>1910</v>
      </c>
    </row>
    <row r="279" customFormat="false" ht="60" hidden="false" customHeight="true" outlineLevel="0" collapsed="false">
      <c r="A279" s="2" t="s">
        <v>1911</v>
      </c>
      <c r="B279" s="2" t="n">
        <v>2024</v>
      </c>
      <c r="C279" s="2" t="s">
        <v>160</v>
      </c>
      <c r="D279" s="2" t="s">
        <v>161</v>
      </c>
      <c r="E279" s="2" t="s">
        <v>104</v>
      </c>
      <c r="F279" s="2" t="n">
        <v>3</v>
      </c>
      <c r="G279" s="2" t="s">
        <v>35</v>
      </c>
      <c r="H279" s="2" t="s">
        <v>1199</v>
      </c>
      <c r="I279" s="2" t="n">
        <v>8</v>
      </c>
      <c r="J279" s="2" t="n">
        <v>2</v>
      </c>
      <c r="K279" s="2" t="s">
        <v>64</v>
      </c>
      <c r="L279" s="2" t="s">
        <v>86</v>
      </c>
      <c r="M279" s="2"/>
      <c r="N279" s="2"/>
      <c r="O279" s="3" t="s">
        <v>1912</v>
      </c>
      <c r="P279" s="2" t="s">
        <v>124</v>
      </c>
      <c r="Q279" s="2" t="s">
        <v>125</v>
      </c>
      <c r="R279" s="2" t="s">
        <v>126</v>
      </c>
      <c r="S279" s="2" t="s">
        <v>1822</v>
      </c>
      <c r="T279" s="3" t="s">
        <v>1823</v>
      </c>
      <c r="U279" s="3"/>
      <c r="V279" s="3" t="s">
        <v>1913</v>
      </c>
      <c r="W279" s="3" t="s">
        <v>1914</v>
      </c>
      <c r="X279" s="2" t="n">
        <v>11</v>
      </c>
      <c r="Y279" s="2" t="n">
        <v>3</v>
      </c>
      <c r="Z279" s="2" t="s">
        <v>47</v>
      </c>
      <c r="AA279" s="3"/>
      <c r="AB279" s="5"/>
      <c r="AC279" s="5"/>
      <c r="AD279" s="3" t="s">
        <v>1915</v>
      </c>
      <c r="AE279" s="3" t="s">
        <v>1916</v>
      </c>
    </row>
    <row r="280" customFormat="false" ht="60" hidden="false" customHeight="true" outlineLevel="0" collapsed="false">
      <c r="A280" s="2" t="s">
        <v>1917</v>
      </c>
      <c r="B280" s="2" t="n">
        <v>2024</v>
      </c>
      <c r="C280" s="2" t="s">
        <v>160</v>
      </c>
      <c r="D280" s="2" t="s">
        <v>161</v>
      </c>
      <c r="E280" s="2" t="s">
        <v>104</v>
      </c>
      <c r="F280" s="2" t="n">
        <v>3</v>
      </c>
      <c r="G280" s="2" t="s">
        <v>52</v>
      </c>
      <c r="H280" s="2" t="s">
        <v>1199</v>
      </c>
      <c r="I280" s="2" t="n">
        <v>12</v>
      </c>
      <c r="J280" s="2" t="n">
        <v>4</v>
      </c>
      <c r="K280" s="2" t="s">
        <v>813</v>
      </c>
      <c r="L280" s="2"/>
      <c r="M280" s="2"/>
      <c r="N280" s="2"/>
      <c r="O280" s="3" t="s">
        <v>232</v>
      </c>
      <c r="P280" s="2" t="s">
        <v>694</v>
      </c>
      <c r="Q280" s="2" t="s">
        <v>695</v>
      </c>
      <c r="R280" s="2" t="s">
        <v>1648</v>
      </c>
      <c r="S280" s="2" t="s">
        <v>1649</v>
      </c>
      <c r="T280" s="3" t="s">
        <v>1918</v>
      </c>
      <c r="U280" s="3"/>
      <c r="V280" s="3" t="s">
        <v>1919</v>
      </c>
      <c r="W280" s="3" t="s">
        <v>1920</v>
      </c>
      <c r="X280" s="2" t="n">
        <v>12</v>
      </c>
      <c r="Y280" s="2" t="n">
        <v>3</v>
      </c>
      <c r="Z280" s="2" t="s">
        <v>47</v>
      </c>
      <c r="AA280" s="3"/>
      <c r="AB280" s="5"/>
      <c r="AC280" s="5"/>
      <c r="AD280" s="3" t="s">
        <v>1921</v>
      </c>
      <c r="AE280" s="3" t="s">
        <v>1922</v>
      </c>
    </row>
    <row r="281" customFormat="false" ht="60" hidden="false" customHeight="true" outlineLevel="0" collapsed="false">
      <c r="A281" s="2" t="s">
        <v>1923</v>
      </c>
      <c r="B281" s="2" t="n">
        <v>2024</v>
      </c>
      <c r="C281" s="2" t="s">
        <v>160</v>
      </c>
      <c r="D281" s="2" t="s">
        <v>161</v>
      </c>
      <c r="E281" s="2" t="s">
        <v>1230</v>
      </c>
      <c r="F281" s="2" t="n">
        <v>4</v>
      </c>
      <c r="G281" s="2" t="s">
        <v>35</v>
      </c>
      <c r="H281" s="2" t="s">
        <v>1231</v>
      </c>
      <c r="I281" s="2" t="n">
        <v>8</v>
      </c>
      <c r="J281" s="2" t="n">
        <v>2</v>
      </c>
      <c r="K281" s="2" t="s">
        <v>64</v>
      </c>
      <c r="L281" s="2" t="s">
        <v>86</v>
      </c>
      <c r="M281" s="2"/>
      <c r="N281" s="2"/>
      <c r="O281" s="3" t="s">
        <v>232</v>
      </c>
      <c r="P281" s="2" t="s">
        <v>201</v>
      </c>
      <c r="Q281" s="2" t="s">
        <v>202</v>
      </c>
      <c r="R281" s="2" t="s">
        <v>1681</v>
      </c>
      <c r="S281" s="2" t="s">
        <v>1924</v>
      </c>
      <c r="T281" s="3" t="s">
        <v>1925</v>
      </c>
      <c r="U281" s="3"/>
      <c r="V281" s="3" t="s">
        <v>1926</v>
      </c>
      <c r="W281" s="3" t="s">
        <v>1927</v>
      </c>
      <c r="X281" s="2" t="n">
        <v>13</v>
      </c>
      <c r="Y281" s="2" t="n">
        <v>4</v>
      </c>
      <c r="Z281" s="2" t="s">
        <v>47</v>
      </c>
      <c r="AA281" s="3"/>
      <c r="AB281" s="5"/>
      <c r="AC281" s="5"/>
      <c r="AD281" s="3" t="s">
        <v>1928</v>
      </c>
      <c r="AE281" s="3" t="s">
        <v>1929</v>
      </c>
    </row>
    <row r="282" customFormat="false" ht="60" hidden="false" customHeight="true" outlineLevel="0" collapsed="false">
      <c r="A282" s="2" t="s">
        <v>1930</v>
      </c>
      <c r="B282" s="2" t="n">
        <v>2024</v>
      </c>
      <c r="C282" s="2" t="s">
        <v>160</v>
      </c>
      <c r="D282" s="2" t="s">
        <v>161</v>
      </c>
      <c r="E282" s="2" t="s">
        <v>1230</v>
      </c>
      <c r="F282" s="2" t="n">
        <v>4</v>
      </c>
      <c r="G282" s="2" t="s">
        <v>52</v>
      </c>
      <c r="H282" s="2" t="s">
        <v>1231</v>
      </c>
      <c r="I282" s="2" t="n">
        <v>12</v>
      </c>
      <c r="J282" s="2" t="n">
        <v>4</v>
      </c>
      <c r="K282" s="2" t="s">
        <v>813</v>
      </c>
      <c r="L282" s="2"/>
      <c r="M282" s="2"/>
      <c r="N282" s="2"/>
      <c r="O282" s="3" t="s">
        <v>1912</v>
      </c>
      <c r="P282" s="2" t="s">
        <v>54</v>
      </c>
      <c r="Q282" s="2" t="s">
        <v>55</v>
      </c>
      <c r="R282" s="2" t="s">
        <v>1931</v>
      </c>
      <c r="S282" s="2" t="s">
        <v>1932</v>
      </c>
      <c r="T282" s="3" t="s">
        <v>1933</v>
      </c>
      <c r="U282" s="3"/>
      <c r="V282" s="3" t="s">
        <v>1934</v>
      </c>
      <c r="W282" s="3" t="s">
        <v>1935</v>
      </c>
      <c r="X282" s="2" t="n">
        <v>14</v>
      </c>
      <c r="Y282" s="2" t="n">
        <v>4</v>
      </c>
      <c r="Z282" s="2" t="s">
        <v>47</v>
      </c>
      <c r="AA282" s="3"/>
      <c r="AB282" s="5"/>
      <c r="AC282" s="5"/>
      <c r="AD282" s="3"/>
      <c r="AE282" s="3" t="s">
        <v>1936</v>
      </c>
    </row>
    <row r="283" customFormat="false" ht="60" hidden="false" customHeight="true" outlineLevel="0" collapsed="false">
      <c r="A283" s="2" t="s">
        <v>1937</v>
      </c>
      <c r="B283" s="2" t="n">
        <v>2024</v>
      </c>
      <c r="C283" s="2" t="s">
        <v>160</v>
      </c>
      <c r="D283" s="2" t="s">
        <v>161</v>
      </c>
      <c r="E283" s="2" t="s">
        <v>1230</v>
      </c>
      <c r="F283" s="2" t="n">
        <v>5</v>
      </c>
      <c r="G283" s="2" t="s">
        <v>35</v>
      </c>
      <c r="H283" s="2" t="s">
        <v>1231</v>
      </c>
      <c r="I283" s="2" t="n">
        <v>8</v>
      </c>
      <c r="J283" s="2" t="n">
        <v>2</v>
      </c>
      <c r="K283" s="2" t="s">
        <v>64</v>
      </c>
      <c r="L283" s="2" t="s">
        <v>86</v>
      </c>
      <c r="M283" s="2"/>
      <c r="N283" s="2"/>
      <c r="O283" s="3"/>
      <c r="P283" s="2" t="s">
        <v>1266</v>
      </c>
      <c r="Q283" s="2" t="s">
        <v>1267</v>
      </c>
      <c r="R283" s="2" t="s">
        <v>1268</v>
      </c>
      <c r="S283" s="2" t="s">
        <v>1289</v>
      </c>
      <c r="T283" s="3" t="s">
        <v>1938</v>
      </c>
      <c r="U283" s="3"/>
      <c r="V283" s="3" t="s">
        <v>1939</v>
      </c>
      <c r="W283" s="3" t="s">
        <v>1940</v>
      </c>
      <c r="X283" s="2" t="n">
        <v>15</v>
      </c>
      <c r="Y283" s="2" t="n">
        <v>4</v>
      </c>
      <c r="Z283" s="2" t="s">
        <v>47</v>
      </c>
      <c r="AA283" s="3"/>
      <c r="AB283" s="5"/>
      <c r="AC283" s="5"/>
      <c r="AD283" s="3" t="s">
        <v>1941</v>
      </c>
      <c r="AE283" s="3" t="s">
        <v>1942</v>
      </c>
    </row>
    <row r="284" customFormat="false" ht="60" hidden="false" customHeight="true" outlineLevel="0" collapsed="false">
      <c r="A284" s="2" t="s">
        <v>1943</v>
      </c>
      <c r="B284" s="2" t="n">
        <v>2024</v>
      </c>
      <c r="C284" s="2" t="s">
        <v>160</v>
      </c>
      <c r="D284" s="2" t="s">
        <v>161</v>
      </c>
      <c r="E284" s="2" t="s">
        <v>1230</v>
      </c>
      <c r="F284" s="2" t="n">
        <v>5</v>
      </c>
      <c r="G284" s="2" t="s">
        <v>52</v>
      </c>
      <c r="H284" s="2" t="s">
        <v>1231</v>
      </c>
      <c r="I284" s="2" t="n">
        <v>12</v>
      </c>
      <c r="J284" s="2" t="n">
        <v>4</v>
      </c>
      <c r="K284" s="2" t="s">
        <v>813</v>
      </c>
      <c r="L284" s="2"/>
      <c r="M284" s="2"/>
      <c r="N284" s="2"/>
      <c r="O284" s="3"/>
      <c r="P284" s="2" t="s">
        <v>54</v>
      </c>
      <c r="Q284" s="2" t="s">
        <v>55</v>
      </c>
      <c r="R284" s="2" t="s">
        <v>1944</v>
      </c>
      <c r="S284" s="2" t="s">
        <v>1945</v>
      </c>
      <c r="T284" s="3" t="s">
        <v>1946</v>
      </c>
      <c r="U284" s="3"/>
      <c r="V284" s="3" t="s">
        <v>1947</v>
      </c>
      <c r="W284" s="3" t="s">
        <v>1948</v>
      </c>
      <c r="X284" s="2" t="n">
        <v>16</v>
      </c>
      <c r="Y284" s="2" t="n">
        <v>4</v>
      </c>
      <c r="Z284" s="2" t="s">
        <v>47</v>
      </c>
      <c r="AA284" s="3"/>
      <c r="AB284" s="5"/>
      <c r="AC284" s="5"/>
      <c r="AD284" s="3"/>
      <c r="AE284" s="3" t="s">
        <v>1949</v>
      </c>
    </row>
    <row r="285" customFormat="false" ht="60" hidden="false" customHeight="true" outlineLevel="0" collapsed="false">
      <c r="A285" s="2" t="s">
        <v>1950</v>
      </c>
      <c r="B285" s="2" t="n">
        <v>2024</v>
      </c>
      <c r="C285" s="2" t="s">
        <v>160</v>
      </c>
      <c r="D285" s="2" t="s">
        <v>33</v>
      </c>
      <c r="E285" s="2" t="s">
        <v>34</v>
      </c>
      <c r="F285" s="2" t="n">
        <v>1</v>
      </c>
      <c r="G285" s="2" t="s">
        <v>35</v>
      </c>
      <c r="H285" s="2"/>
      <c r="I285" s="2" t="n">
        <v>2</v>
      </c>
      <c r="J285" s="2" t="n">
        <v>0</v>
      </c>
      <c r="K285" s="2" t="s">
        <v>163</v>
      </c>
      <c r="L285" s="2"/>
      <c r="M285" s="2"/>
      <c r="N285" s="2"/>
      <c r="O285" s="3"/>
      <c r="P285" s="2" t="s">
        <v>39</v>
      </c>
      <c r="Q285" s="2" t="s">
        <v>40</v>
      </c>
      <c r="R285" s="2" t="s">
        <v>41</v>
      </c>
      <c r="S285" s="2" t="s">
        <v>42</v>
      </c>
      <c r="T285" s="3" t="s">
        <v>1951</v>
      </c>
      <c r="U285" s="3" t="s">
        <v>1952</v>
      </c>
      <c r="V285" s="3" t="s">
        <v>1953</v>
      </c>
      <c r="W285" s="3" t="s">
        <v>1954</v>
      </c>
      <c r="X285" s="2" t="n">
        <v>7</v>
      </c>
      <c r="Y285" s="2" t="n">
        <v>3</v>
      </c>
      <c r="Z285" s="2" t="s">
        <v>47</v>
      </c>
      <c r="AA285" s="3"/>
      <c r="AB285" s="5"/>
      <c r="AC285" s="5"/>
      <c r="AD285" s="3"/>
      <c r="AE285" s="3" t="s">
        <v>1955</v>
      </c>
    </row>
    <row r="286" customFormat="false" ht="60" hidden="false" customHeight="true" outlineLevel="0" collapsed="false">
      <c r="A286" s="2" t="s">
        <v>1956</v>
      </c>
      <c r="B286" s="2" t="n">
        <v>2024</v>
      </c>
      <c r="C286" s="2" t="s">
        <v>160</v>
      </c>
      <c r="D286" s="2" t="s">
        <v>33</v>
      </c>
      <c r="E286" s="2" t="s">
        <v>34</v>
      </c>
      <c r="F286" s="2" t="n">
        <v>1</v>
      </c>
      <c r="G286" s="2" t="s">
        <v>52</v>
      </c>
      <c r="H286" s="2"/>
      <c r="I286" s="2" t="n">
        <v>2</v>
      </c>
      <c r="J286" s="2" t="n">
        <v>0</v>
      </c>
      <c r="K286" s="2" t="s">
        <v>53</v>
      </c>
      <c r="L286" s="2"/>
      <c r="M286" s="2" t="s">
        <v>37</v>
      </c>
      <c r="N286" s="2"/>
      <c r="O286" s="3" t="s">
        <v>73</v>
      </c>
      <c r="P286" s="2" t="s">
        <v>39</v>
      </c>
      <c r="Q286" s="2" t="s">
        <v>40</v>
      </c>
      <c r="R286" s="2" t="s">
        <v>301</v>
      </c>
      <c r="S286" s="2" t="s">
        <v>741</v>
      </c>
      <c r="T286" s="3" t="s">
        <v>1957</v>
      </c>
      <c r="U286" s="3" t="s">
        <v>1952</v>
      </c>
      <c r="V286" s="3" t="s">
        <v>1958</v>
      </c>
      <c r="W286" s="2" t="s">
        <v>1959</v>
      </c>
      <c r="X286" s="2" t="n">
        <v>7</v>
      </c>
      <c r="Y286" s="2" t="n">
        <v>3</v>
      </c>
      <c r="Z286" s="2" t="s">
        <v>47</v>
      </c>
      <c r="AA286" s="3"/>
      <c r="AB286" s="5"/>
      <c r="AC286" s="5"/>
      <c r="AD286" s="3" t="s">
        <v>1960</v>
      </c>
      <c r="AE286" s="3" t="s">
        <v>1961</v>
      </c>
    </row>
    <row r="287" customFormat="false" ht="60" hidden="false" customHeight="true" outlineLevel="0" collapsed="false">
      <c r="A287" s="2" t="s">
        <v>1962</v>
      </c>
      <c r="B287" s="2" t="n">
        <v>2024</v>
      </c>
      <c r="C287" s="2" t="s">
        <v>160</v>
      </c>
      <c r="D287" s="2" t="s">
        <v>33</v>
      </c>
      <c r="E287" s="2" t="s">
        <v>34</v>
      </c>
      <c r="F287" s="2" t="n">
        <v>1</v>
      </c>
      <c r="G287" s="2" t="s">
        <v>63</v>
      </c>
      <c r="H287" s="2"/>
      <c r="I287" s="2" t="n">
        <v>4</v>
      </c>
      <c r="J287" s="2" t="n">
        <v>1</v>
      </c>
      <c r="K287" s="2" t="s">
        <v>86</v>
      </c>
      <c r="L287" s="2"/>
      <c r="M287" s="2"/>
      <c r="N287" s="2"/>
      <c r="O287" s="3" t="s">
        <v>232</v>
      </c>
      <c r="P287" s="2" t="s">
        <v>39</v>
      </c>
      <c r="Q287" s="2" t="s">
        <v>40</v>
      </c>
      <c r="R287" s="2" t="s">
        <v>1963</v>
      </c>
      <c r="S287" s="2" t="s">
        <v>1964</v>
      </c>
      <c r="T287" s="3" t="s">
        <v>1965</v>
      </c>
      <c r="U287" s="3" t="s">
        <v>1952</v>
      </c>
      <c r="V287" s="3" t="s">
        <v>1966</v>
      </c>
      <c r="W287" s="3" t="s">
        <v>1967</v>
      </c>
      <c r="X287" s="2" t="n">
        <v>7</v>
      </c>
      <c r="Y287" s="2" t="n">
        <v>3</v>
      </c>
      <c r="Z287" s="2" t="s">
        <v>47</v>
      </c>
      <c r="AA287" s="3"/>
      <c r="AB287" s="5"/>
      <c r="AC287" s="5"/>
      <c r="AD287" s="3" t="s">
        <v>1968</v>
      </c>
      <c r="AE287" s="3" t="s">
        <v>1969</v>
      </c>
    </row>
    <row r="288" customFormat="false" ht="60" hidden="false" customHeight="true" outlineLevel="0" collapsed="false">
      <c r="A288" s="2" t="s">
        <v>1970</v>
      </c>
      <c r="B288" s="2" t="n">
        <v>2024</v>
      </c>
      <c r="C288" s="2" t="s">
        <v>160</v>
      </c>
      <c r="D288" s="2" t="s">
        <v>33</v>
      </c>
      <c r="E288" s="2" t="s">
        <v>34</v>
      </c>
      <c r="F288" s="2" t="n">
        <v>1</v>
      </c>
      <c r="G288" s="2" t="s">
        <v>72</v>
      </c>
      <c r="H288" s="2"/>
      <c r="I288" s="2" t="n">
        <v>6</v>
      </c>
      <c r="J288" s="2" t="n">
        <v>2</v>
      </c>
      <c r="K288" s="2" t="s">
        <v>813</v>
      </c>
      <c r="L288" s="2"/>
      <c r="M288" s="2"/>
      <c r="N288" s="2"/>
      <c r="O288" s="3"/>
      <c r="P288" s="2" t="s">
        <v>124</v>
      </c>
      <c r="Q288" s="2" t="s">
        <v>125</v>
      </c>
      <c r="R288" s="2" t="s">
        <v>1971</v>
      </c>
      <c r="S288" s="2" t="s">
        <v>1972</v>
      </c>
      <c r="T288" s="3" t="s">
        <v>1973</v>
      </c>
      <c r="U288" s="3" t="s">
        <v>1952</v>
      </c>
      <c r="V288" s="3" t="s">
        <v>1974</v>
      </c>
      <c r="W288" s="3" t="s">
        <v>1975</v>
      </c>
      <c r="X288" s="2" t="n">
        <v>8</v>
      </c>
      <c r="Y288" s="2" t="n">
        <v>3</v>
      </c>
      <c r="Z288" s="2" t="s">
        <v>47</v>
      </c>
      <c r="AA288" s="3"/>
      <c r="AB288" s="5"/>
      <c r="AC288" s="5"/>
      <c r="AD288" s="3"/>
      <c r="AE288" s="3" t="s">
        <v>1976</v>
      </c>
    </row>
    <row r="289" customFormat="false" ht="60" hidden="false" customHeight="true" outlineLevel="0" collapsed="false">
      <c r="A289" s="2" t="s">
        <v>1977</v>
      </c>
      <c r="B289" s="2" t="n">
        <v>2024</v>
      </c>
      <c r="C289" s="2" t="s">
        <v>160</v>
      </c>
      <c r="D289" s="2" t="s">
        <v>33</v>
      </c>
      <c r="E289" s="2" t="s">
        <v>34</v>
      </c>
      <c r="F289" s="2" t="n">
        <v>1</v>
      </c>
      <c r="G289" s="2" t="s">
        <v>84</v>
      </c>
      <c r="H289" s="2"/>
      <c r="I289" s="2" t="n">
        <v>6</v>
      </c>
      <c r="J289" s="2" t="n">
        <v>2</v>
      </c>
      <c r="K289" s="2" t="s">
        <v>813</v>
      </c>
      <c r="L289" s="2"/>
      <c r="M289" s="2"/>
      <c r="N289" s="2"/>
      <c r="O289" s="3"/>
      <c r="P289" s="2" t="s">
        <v>87</v>
      </c>
      <c r="Q289" s="2" t="s">
        <v>88</v>
      </c>
      <c r="R289" s="2" t="s">
        <v>663</v>
      </c>
      <c r="S289" s="2" t="s">
        <v>506</v>
      </c>
      <c r="T289" s="3" t="s">
        <v>1978</v>
      </c>
      <c r="U289" s="3" t="s">
        <v>1952</v>
      </c>
      <c r="V289" s="3" t="s">
        <v>1979</v>
      </c>
      <c r="W289" s="3" t="s">
        <v>1980</v>
      </c>
      <c r="X289" s="2" t="n">
        <v>9</v>
      </c>
      <c r="Y289" s="2" t="n">
        <v>3</v>
      </c>
      <c r="Z289" s="2" t="s">
        <v>47</v>
      </c>
      <c r="AA289" s="3"/>
      <c r="AB289" s="5"/>
      <c r="AC289" s="5"/>
      <c r="AD289" s="3"/>
      <c r="AE289" s="3" t="s">
        <v>1981</v>
      </c>
    </row>
    <row r="290" customFormat="false" ht="60" hidden="false" customHeight="true" outlineLevel="0" collapsed="false">
      <c r="A290" s="2" t="s">
        <v>1982</v>
      </c>
      <c r="B290" s="2" t="n">
        <v>2024</v>
      </c>
      <c r="C290" s="2" t="s">
        <v>160</v>
      </c>
      <c r="D290" s="2" t="s">
        <v>33</v>
      </c>
      <c r="E290" s="2" t="s">
        <v>104</v>
      </c>
      <c r="F290" s="2" t="n">
        <v>2</v>
      </c>
      <c r="G290" s="2" t="s">
        <v>35</v>
      </c>
      <c r="H290" s="2" t="s">
        <v>1199</v>
      </c>
      <c r="I290" s="2" t="n">
        <v>8</v>
      </c>
      <c r="J290" s="2" t="n">
        <v>2</v>
      </c>
      <c r="K290" s="2" t="s">
        <v>64</v>
      </c>
      <c r="L290" s="2" t="s">
        <v>86</v>
      </c>
      <c r="M290" s="2"/>
      <c r="N290" s="2"/>
      <c r="O290" s="3"/>
      <c r="P290" s="2" t="s">
        <v>1214</v>
      </c>
      <c r="Q290" s="2" t="s">
        <v>1215</v>
      </c>
      <c r="R290" s="2" t="s">
        <v>1216</v>
      </c>
      <c r="S290" s="2" t="s">
        <v>1983</v>
      </c>
      <c r="T290" s="3" t="s">
        <v>1984</v>
      </c>
      <c r="U290" s="3"/>
      <c r="V290" s="3" t="s">
        <v>1985</v>
      </c>
      <c r="W290" s="3" t="s">
        <v>1986</v>
      </c>
      <c r="X290" s="2" t="n">
        <v>10</v>
      </c>
      <c r="Y290" s="2" t="n">
        <v>4</v>
      </c>
      <c r="Z290" s="2" t="s">
        <v>47</v>
      </c>
      <c r="AA290" s="3"/>
      <c r="AB290" s="5"/>
      <c r="AC290" s="5"/>
      <c r="AD290" s="3"/>
      <c r="AE290" s="3" t="s">
        <v>1987</v>
      </c>
    </row>
    <row r="291" customFormat="false" ht="60" hidden="false" customHeight="true" outlineLevel="0" collapsed="false">
      <c r="A291" s="2" t="s">
        <v>1988</v>
      </c>
      <c r="B291" s="2" t="n">
        <v>2024</v>
      </c>
      <c r="C291" s="2" t="s">
        <v>160</v>
      </c>
      <c r="D291" s="2" t="s">
        <v>33</v>
      </c>
      <c r="E291" s="2" t="s">
        <v>104</v>
      </c>
      <c r="F291" s="2" t="n">
        <v>2</v>
      </c>
      <c r="G291" s="2" t="s">
        <v>52</v>
      </c>
      <c r="H291" s="2" t="s">
        <v>1199</v>
      </c>
      <c r="I291" s="2" t="n">
        <v>12</v>
      </c>
      <c r="J291" s="2" t="n">
        <v>4</v>
      </c>
      <c r="K291" s="2" t="s">
        <v>813</v>
      </c>
      <c r="L291" s="2"/>
      <c r="M291" s="2"/>
      <c r="N291" s="2"/>
      <c r="O291" s="3" t="s">
        <v>232</v>
      </c>
      <c r="P291" s="2" t="s">
        <v>1214</v>
      </c>
      <c r="Q291" s="2" t="s">
        <v>1215</v>
      </c>
      <c r="R291" s="2" t="s">
        <v>1216</v>
      </c>
      <c r="S291" s="2" t="s">
        <v>1989</v>
      </c>
      <c r="T291" s="3" t="s">
        <v>1990</v>
      </c>
      <c r="U291" s="3"/>
      <c r="V291" s="3" t="s">
        <v>1991</v>
      </c>
      <c r="W291" s="3" t="s">
        <v>1992</v>
      </c>
      <c r="X291" s="2" t="n">
        <v>12</v>
      </c>
      <c r="Y291" s="2" t="n">
        <v>4</v>
      </c>
      <c r="Z291" s="2" t="s">
        <v>47</v>
      </c>
      <c r="AA291" s="3"/>
      <c r="AB291" s="5"/>
      <c r="AC291" s="5"/>
      <c r="AD291" s="3"/>
      <c r="AE291" s="3" t="s">
        <v>1993</v>
      </c>
    </row>
    <row r="292" customFormat="false" ht="60" hidden="false" customHeight="true" outlineLevel="0" collapsed="false">
      <c r="A292" s="2" t="s">
        <v>1994</v>
      </c>
      <c r="B292" s="2" t="n">
        <v>2024</v>
      </c>
      <c r="C292" s="2" t="s">
        <v>160</v>
      </c>
      <c r="D292" s="2" t="s">
        <v>33</v>
      </c>
      <c r="E292" s="2" t="s">
        <v>104</v>
      </c>
      <c r="F292" s="2" t="n">
        <v>3</v>
      </c>
      <c r="G292" s="2" t="s">
        <v>35</v>
      </c>
      <c r="H292" s="2" t="s">
        <v>1199</v>
      </c>
      <c r="I292" s="2" t="n">
        <v>8</v>
      </c>
      <c r="J292" s="2" t="n">
        <v>2</v>
      </c>
      <c r="K292" s="2" t="s">
        <v>64</v>
      </c>
      <c r="L292" s="2" t="s">
        <v>86</v>
      </c>
      <c r="M292" s="2"/>
      <c r="N292" s="2"/>
      <c r="O292" s="3" t="s">
        <v>527</v>
      </c>
      <c r="P292" s="2" t="s">
        <v>209</v>
      </c>
      <c r="Q292" s="2" t="s">
        <v>210</v>
      </c>
      <c r="R292" s="2" t="s">
        <v>1995</v>
      </c>
      <c r="S292" s="2" t="s">
        <v>1996</v>
      </c>
      <c r="T292" s="3" t="s">
        <v>1997</v>
      </c>
      <c r="U292" s="3"/>
      <c r="V292" s="3" t="s">
        <v>1998</v>
      </c>
      <c r="W292" s="3" t="s">
        <v>1999</v>
      </c>
      <c r="X292" s="2" t="n">
        <v>14</v>
      </c>
      <c r="Y292" s="2" t="n">
        <v>4</v>
      </c>
      <c r="Z292" s="2" t="s">
        <v>47</v>
      </c>
      <c r="AA292" s="3"/>
      <c r="AB292" s="5"/>
      <c r="AC292" s="5"/>
      <c r="AD292" s="3" t="s">
        <v>2000</v>
      </c>
      <c r="AE292" s="3" t="s">
        <v>2001</v>
      </c>
    </row>
    <row r="293" customFormat="false" ht="60" hidden="false" customHeight="true" outlineLevel="0" collapsed="false">
      <c r="A293" s="2" t="s">
        <v>2002</v>
      </c>
      <c r="B293" s="2" t="n">
        <v>2024</v>
      </c>
      <c r="C293" s="2" t="s">
        <v>160</v>
      </c>
      <c r="D293" s="2" t="s">
        <v>33</v>
      </c>
      <c r="E293" s="2" t="s">
        <v>104</v>
      </c>
      <c r="F293" s="2" t="n">
        <v>3</v>
      </c>
      <c r="G293" s="2" t="s">
        <v>52</v>
      </c>
      <c r="H293" s="2" t="s">
        <v>1199</v>
      </c>
      <c r="I293" s="2" t="n">
        <v>12</v>
      </c>
      <c r="J293" s="2" t="n">
        <v>4</v>
      </c>
      <c r="K293" s="2" t="s">
        <v>813</v>
      </c>
      <c r="L293" s="2"/>
      <c r="M293" s="2"/>
      <c r="N293" s="2"/>
      <c r="O293" s="3"/>
      <c r="P293" s="2" t="s">
        <v>151</v>
      </c>
      <c r="Q293" s="2" t="s">
        <v>152</v>
      </c>
      <c r="R293" s="2" t="s">
        <v>287</v>
      </c>
      <c r="S293" s="2" t="s">
        <v>288</v>
      </c>
      <c r="T293" s="3" t="s">
        <v>2003</v>
      </c>
      <c r="U293" s="3"/>
      <c r="V293" s="3" t="s">
        <v>2004</v>
      </c>
      <c r="W293" s="3" t="s">
        <v>2005</v>
      </c>
      <c r="X293" s="2" t="n">
        <v>15</v>
      </c>
      <c r="Y293" s="2" t="n">
        <v>4</v>
      </c>
      <c r="Z293" s="2" t="s">
        <v>47</v>
      </c>
      <c r="AA293" s="3"/>
      <c r="AB293" s="5"/>
      <c r="AC293" s="5"/>
      <c r="AD293" s="3" t="s">
        <v>2006</v>
      </c>
      <c r="AE293" s="3" t="s">
        <v>2007</v>
      </c>
    </row>
    <row r="294" customFormat="false" ht="60" hidden="false" customHeight="true" outlineLevel="0" collapsed="false">
      <c r="A294" s="2" t="s">
        <v>2008</v>
      </c>
      <c r="B294" s="2" t="n">
        <v>2024</v>
      </c>
      <c r="C294" s="2" t="s">
        <v>160</v>
      </c>
      <c r="D294" s="2" t="s">
        <v>33</v>
      </c>
      <c r="E294" s="2" t="s">
        <v>1230</v>
      </c>
      <c r="F294" s="2" t="n">
        <v>4</v>
      </c>
      <c r="G294" s="2" t="s">
        <v>35</v>
      </c>
      <c r="H294" s="2" t="s">
        <v>1231</v>
      </c>
      <c r="I294" s="2" t="n">
        <v>8</v>
      </c>
      <c r="J294" s="2" t="n">
        <v>2</v>
      </c>
      <c r="K294" s="2" t="s">
        <v>64</v>
      </c>
      <c r="L294" s="2" t="s">
        <v>86</v>
      </c>
      <c r="M294" s="2" t="s">
        <v>37</v>
      </c>
      <c r="N294" s="2"/>
      <c r="O294" s="3" t="s">
        <v>1402</v>
      </c>
      <c r="P294" s="2" t="s">
        <v>1232</v>
      </c>
      <c r="Q294" s="2" t="s">
        <v>1233</v>
      </c>
      <c r="R294" s="2" t="s">
        <v>2009</v>
      </c>
      <c r="S294" s="2" t="s">
        <v>2010</v>
      </c>
      <c r="T294" s="3" t="s">
        <v>2011</v>
      </c>
      <c r="U294" s="3"/>
      <c r="V294" s="3" t="s">
        <v>2012</v>
      </c>
      <c r="W294" s="3" t="s">
        <v>2013</v>
      </c>
      <c r="X294" s="2" t="n">
        <v>16</v>
      </c>
      <c r="Y294" s="2" t="n">
        <v>4</v>
      </c>
      <c r="Z294" s="2" t="s">
        <v>47</v>
      </c>
      <c r="AA294" s="3"/>
      <c r="AB294" s="5"/>
      <c r="AC294" s="5"/>
      <c r="AD294" s="3" t="s">
        <v>2014</v>
      </c>
      <c r="AE294" s="3" t="s">
        <v>2015</v>
      </c>
    </row>
    <row r="295" customFormat="false" ht="60" hidden="false" customHeight="true" outlineLevel="0" collapsed="false">
      <c r="A295" s="2" t="s">
        <v>2016</v>
      </c>
      <c r="B295" s="2" t="n">
        <v>2024</v>
      </c>
      <c r="C295" s="2" t="s">
        <v>160</v>
      </c>
      <c r="D295" s="2" t="s">
        <v>33</v>
      </c>
      <c r="E295" s="2" t="s">
        <v>1230</v>
      </c>
      <c r="F295" s="2" t="n">
        <v>4</v>
      </c>
      <c r="G295" s="2" t="s">
        <v>52</v>
      </c>
      <c r="H295" s="2" t="s">
        <v>1231</v>
      </c>
      <c r="I295" s="2" t="n">
        <v>12</v>
      </c>
      <c r="J295" s="2" t="n">
        <v>4</v>
      </c>
      <c r="K295" s="2" t="s">
        <v>813</v>
      </c>
      <c r="L295" s="2"/>
      <c r="M295" s="2"/>
      <c r="N295" s="2"/>
      <c r="O295" s="3"/>
      <c r="P295" s="2" t="s">
        <v>115</v>
      </c>
      <c r="Q295" s="2" t="s">
        <v>116</v>
      </c>
      <c r="R295" s="2" t="s">
        <v>1891</v>
      </c>
      <c r="S295" s="2" t="s">
        <v>2017</v>
      </c>
      <c r="T295" s="3" t="s">
        <v>2018</v>
      </c>
      <c r="U295" s="3"/>
      <c r="V295" s="3" t="s">
        <v>2019</v>
      </c>
      <c r="W295" s="3" t="s">
        <v>2020</v>
      </c>
      <c r="X295" s="2" t="n">
        <v>17</v>
      </c>
      <c r="Y295" s="2" t="n">
        <v>4</v>
      </c>
      <c r="Z295" s="2" t="s">
        <v>47</v>
      </c>
      <c r="AA295" s="3"/>
      <c r="AB295" s="5"/>
      <c r="AC295" s="5"/>
      <c r="AD295" s="3" t="s">
        <v>2021</v>
      </c>
      <c r="AE295" s="3" t="s">
        <v>2022</v>
      </c>
    </row>
    <row r="296" customFormat="false" ht="60" hidden="false" customHeight="true" outlineLevel="0" collapsed="false">
      <c r="A296" s="2" t="s">
        <v>2023</v>
      </c>
      <c r="B296" s="2" t="n">
        <v>2024</v>
      </c>
      <c r="C296" s="2" t="s">
        <v>160</v>
      </c>
      <c r="D296" s="2" t="s">
        <v>33</v>
      </c>
      <c r="E296" s="2" t="s">
        <v>1230</v>
      </c>
      <c r="F296" s="2" t="n">
        <v>5</v>
      </c>
      <c r="G296" s="2" t="s">
        <v>35</v>
      </c>
      <c r="H296" s="2" t="s">
        <v>1231</v>
      </c>
      <c r="I296" s="2" t="n">
        <v>8</v>
      </c>
      <c r="J296" s="2" t="n">
        <v>2</v>
      </c>
      <c r="K296" s="2" t="s">
        <v>64</v>
      </c>
      <c r="L296" s="2" t="s">
        <v>86</v>
      </c>
      <c r="M296" s="2"/>
      <c r="N296" s="2"/>
      <c r="O296" s="3"/>
      <c r="P296" s="2" t="s">
        <v>133</v>
      </c>
      <c r="Q296" s="2" t="s">
        <v>134</v>
      </c>
      <c r="R296" s="2" t="s">
        <v>135</v>
      </c>
      <c r="S296" s="2" t="s">
        <v>711</v>
      </c>
      <c r="T296" s="3" t="s">
        <v>2024</v>
      </c>
      <c r="U296" s="3"/>
      <c r="V296" s="3" t="s">
        <v>2025</v>
      </c>
      <c r="W296" s="3" t="s">
        <v>2026</v>
      </c>
      <c r="X296" s="2" t="n">
        <v>19</v>
      </c>
      <c r="Y296" s="2" t="n">
        <v>4</v>
      </c>
      <c r="Z296" s="2" t="s">
        <v>47</v>
      </c>
      <c r="AA296" s="3"/>
      <c r="AB296" s="5"/>
      <c r="AC296" s="5"/>
      <c r="AD296" s="3" t="s">
        <v>2027</v>
      </c>
      <c r="AE296" s="3" t="s">
        <v>2028</v>
      </c>
    </row>
    <row r="297" customFormat="false" ht="60" hidden="false" customHeight="true" outlineLevel="0" collapsed="false">
      <c r="A297" s="2" t="s">
        <v>2029</v>
      </c>
      <c r="B297" s="2" t="n">
        <v>2024</v>
      </c>
      <c r="C297" s="2" t="s">
        <v>160</v>
      </c>
      <c r="D297" s="2" t="s">
        <v>33</v>
      </c>
      <c r="E297" s="2" t="s">
        <v>1230</v>
      </c>
      <c r="F297" s="2" t="n">
        <v>5</v>
      </c>
      <c r="G297" s="2" t="s">
        <v>52</v>
      </c>
      <c r="H297" s="2" t="s">
        <v>1231</v>
      </c>
      <c r="I297" s="2" t="n">
        <v>12</v>
      </c>
      <c r="J297" s="2" t="n">
        <v>4</v>
      </c>
      <c r="K297" s="2" t="s">
        <v>813</v>
      </c>
      <c r="L297" s="2"/>
      <c r="M297" s="2"/>
      <c r="N297" s="2"/>
      <c r="O297" s="3" t="s">
        <v>748</v>
      </c>
      <c r="P297" s="2" t="s">
        <v>133</v>
      </c>
      <c r="Q297" s="2" t="s">
        <v>134</v>
      </c>
      <c r="R297" s="2" t="s">
        <v>274</v>
      </c>
      <c r="S297" s="2" t="s">
        <v>275</v>
      </c>
      <c r="T297" s="3" t="s">
        <v>2030</v>
      </c>
      <c r="U297" s="3"/>
      <c r="V297" s="3" t="s">
        <v>2031</v>
      </c>
      <c r="W297" s="3" t="s">
        <v>2032</v>
      </c>
      <c r="X297" s="2" t="n">
        <v>20</v>
      </c>
      <c r="Y297" s="2" t="n">
        <v>4</v>
      </c>
      <c r="Z297" s="2" t="s">
        <v>47</v>
      </c>
      <c r="AA297" s="3"/>
      <c r="AB297" s="5"/>
      <c r="AC297" s="5"/>
      <c r="AD297" s="3"/>
      <c r="AE297" s="3" t="s">
        <v>2033</v>
      </c>
    </row>
    <row r="298" customFormat="false" ht="60" hidden="false" customHeight="true" outlineLevel="0" collapsed="false">
      <c r="A298" s="2" t="s">
        <v>2034</v>
      </c>
      <c r="B298" s="2" t="n">
        <v>2024</v>
      </c>
      <c r="C298" s="2" t="s">
        <v>160</v>
      </c>
      <c r="D298" s="2" t="s">
        <v>316</v>
      </c>
      <c r="E298" s="2" t="s">
        <v>34</v>
      </c>
      <c r="F298" s="2" t="n">
        <v>1</v>
      </c>
      <c r="G298" s="2" t="s">
        <v>35</v>
      </c>
      <c r="H298" s="2"/>
      <c r="I298" s="2" t="n">
        <v>2</v>
      </c>
      <c r="J298" s="2" t="n">
        <v>0</v>
      </c>
      <c r="K298" s="2" t="s">
        <v>36</v>
      </c>
      <c r="L298" s="2"/>
      <c r="M298" s="2"/>
      <c r="N298" s="2" t="s">
        <v>37</v>
      </c>
      <c r="O298" s="3" t="s">
        <v>38</v>
      </c>
      <c r="P298" s="2" t="s">
        <v>39</v>
      </c>
      <c r="Q298" s="2" t="s">
        <v>40</v>
      </c>
      <c r="R298" s="2" t="s">
        <v>404</v>
      </c>
      <c r="S298" s="2" t="s">
        <v>2035</v>
      </c>
      <c r="T298" s="3" t="s">
        <v>2036</v>
      </c>
      <c r="U298" s="3" t="s">
        <v>2037</v>
      </c>
      <c r="V298" s="3" t="s">
        <v>2038</v>
      </c>
      <c r="W298" s="3" t="s">
        <v>2039</v>
      </c>
      <c r="X298" s="2" t="n">
        <v>7</v>
      </c>
      <c r="Y298" s="2" t="n">
        <v>3</v>
      </c>
      <c r="Z298" s="2" t="s">
        <v>47</v>
      </c>
      <c r="AA298" s="3"/>
      <c r="AB298" s="5"/>
      <c r="AC298" s="5"/>
      <c r="AD298" s="3"/>
      <c r="AE298" s="3" t="s">
        <v>2040</v>
      </c>
    </row>
    <row r="299" customFormat="false" ht="60" hidden="false" customHeight="true" outlineLevel="0" collapsed="false">
      <c r="A299" s="2" t="s">
        <v>2041</v>
      </c>
      <c r="B299" s="2" t="n">
        <v>2024</v>
      </c>
      <c r="C299" s="2" t="s">
        <v>160</v>
      </c>
      <c r="D299" s="2" t="s">
        <v>316</v>
      </c>
      <c r="E299" s="2" t="s">
        <v>34</v>
      </c>
      <c r="F299" s="2" t="n">
        <v>1</v>
      </c>
      <c r="G299" s="2" t="s">
        <v>483</v>
      </c>
      <c r="H299" s="2"/>
      <c r="I299" s="2" t="n">
        <v>2</v>
      </c>
      <c r="J299" s="2" t="n">
        <v>0</v>
      </c>
      <c r="K299" s="2" t="s">
        <v>64</v>
      </c>
      <c r="L299" s="2"/>
      <c r="M299" s="2"/>
      <c r="N299" s="2"/>
      <c r="O299" s="3"/>
      <c r="P299" s="2" t="s">
        <v>74</v>
      </c>
      <c r="Q299" s="2" t="s">
        <v>75</v>
      </c>
      <c r="R299" s="2" t="s">
        <v>239</v>
      </c>
      <c r="S299" s="2" t="s">
        <v>2042</v>
      </c>
      <c r="T299" s="3" t="s">
        <v>2043</v>
      </c>
      <c r="U299" s="3" t="s">
        <v>2037</v>
      </c>
      <c r="V299" s="3" t="s">
        <v>2044</v>
      </c>
      <c r="W299" s="3" t="s">
        <v>2045</v>
      </c>
      <c r="X299" s="2" t="n">
        <v>7</v>
      </c>
      <c r="Y299" s="2" t="n">
        <v>3</v>
      </c>
      <c r="Z299" s="2" t="s">
        <v>47</v>
      </c>
      <c r="AA299" s="3"/>
      <c r="AB299" s="5"/>
      <c r="AC299" s="5"/>
      <c r="AD299" s="3" t="s">
        <v>2046</v>
      </c>
      <c r="AE299" s="3" t="s">
        <v>2047</v>
      </c>
    </row>
    <row r="300" customFormat="false" ht="60" hidden="false" customHeight="true" outlineLevel="0" collapsed="false">
      <c r="A300" s="2" t="s">
        <v>2048</v>
      </c>
      <c r="B300" s="2" t="n">
        <v>2024</v>
      </c>
      <c r="C300" s="2" t="s">
        <v>160</v>
      </c>
      <c r="D300" s="2" t="s">
        <v>316</v>
      </c>
      <c r="E300" s="2" t="s">
        <v>34</v>
      </c>
      <c r="F300" s="2" t="n">
        <v>1</v>
      </c>
      <c r="G300" s="2" t="s">
        <v>490</v>
      </c>
      <c r="H300" s="2"/>
      <c r="I300" s="2" t="n">
        <v>4</v>
      </c>
      <c r="J300" s="2" t="n">
        <v>1</v>
      </c>
      <c r="K300" s="2" t="s">
        <v>86</v>
      </c>
      <c r="L300" s="2"/>
      <c r="M300" s="2"/>
      <c r="N300" s="2"/>
      <c r="O300" s="3" t="s">
        <v>232</v>
      </c>
      <c r="P300" s="2" t="s">
        <v>74</v>
      </c>
      <c r="Q300" s="2" t="s">
        <v>75</v>
      </c>
      <c r="R300" s="2" t="s">
        <v>239</v>
      </c>
      <c r="S300" s="2" t="s">
        <v>2049</v>
      </c>
      <c r="T300" s="3" t="s">
        <v>2050</v>
      </c>
      <c r="U300" s="3" t="s">
        <v>2037</v>
      </c>
      <c r="V300" s="3" t="s">
        <v>2051</v>
      </c>
      <c r="W300" s="3" t="s">
        <v>2052</v>
      </c>
      <c r="X300" s="2" t="n">
        <v>7</v>
      </c>
      <c r="Y300" s="2" t="n">
        <v>3</v>
      </c>
      <c r="Z300" s="2" t="s">
        <v>47</v>
      </c>
      <c r="AA300" s="3"/>
      <c r="AB300" s="5"/>
      <c r="AC300" s="5"/>
      <c r="AD300" s="3"/>
      <c r="AE300" s="3" t="s">
        <v>2053</v>
      </c>
    </row>
    <row r="301" customFormat="false" ht="60" hidden="false" customHeight="true" outlineLevel="0" collapsed="false">
      <c r="A301" s="2" t="s">
        <v>2054</v>
      </c>
      <c r="B301" s="2" t="n">
        <v>2024</v>
      </c>
      <c r="C301" s="2" t="s">
        <v>160</v>
      </c>
      <c r="D301" s="2" t="s">
        <v>316</v>
      </c>
      <c r="E301" s="2" t="s">
        <v>34</v>
      </c>
      <c r="F301" s="2" t="n">
        <v>1</v>
      </c>
      <c r="G301" s="2" t="s">
        <v>63</v>
      </c>
      <c r="H301" s="2"/>
      <c r="I301" s="2" t="n">
        <v>6</v>
      </c>
      <c r="J301" s="2" t="n">
        <v>2</v>
      </c>
      <c r="K301" s="2" t="s">
        <v>813</v>
      </c>
      <c r="L301" s="2"/>
      <c r="M301" s="2"/>
      <c r="N301" s="2"/>
      <c r="O301" s="3"/>
      <c r="P301" s="2" t="s">
        <v>87</v>
      </c>
      <c r="Q301" s="2" t="s">
        <v>88</v>
      </c>
      <c r="R301" s="2" t="s">
        <v>2055</v>
      </c>
      <c r="S301" s="2" t="s">
        <v>2056</v>
      </c>
      <c r="T301" s="3" t="s">
        <v>2057</v>
      </c>
      <c r="U301" s="3" t="s">
        <v>2037</v>
      </c>
      <c r="V301" s="3" t="s">
        <v>2058</v>
      </c>
      <c r="W301" s="3" t="s">
        <v>2059</v>
      </c>
      <c r="X301" s="2" t="n">
        <v>8</v>
      </c>
      <c r="Y301" s="2" t="n">
        <v>3</v>
      </c>
      <c r="Z301" s="2" t="s">
        <v>47</v>
      </c>
      <c r="AA301" s="3"/>
      <c r="AB301" s="5"/>
      <c r="AC301" s="5"/>
      <c r="AD301" s="3"/>
      <c r="AE301" s="3" t="s">
        <v>2060</v>
      </c>
    </row>
    <row r="302" customFormat="false" ht="60" hidden="false" customHeight="true" outlineLevel="0" collapsed="false">
      <c r="A302" s="2" t="s">
        <v>2061</v>
      </c>
      <c r="B302" s="2" t="n">
        <v>2024</v>
      </c>
      <c r="C302" s="2" t="s">
        <v>160</v>
      </c>
      <c r="D302" s="2" t="s">
        <v>316</v>
      </c>
      <c r="E302" s="2" t="s">
        <v>34</v>
      </c>
      <c r="F302" s="2" t="n">
        <v>1</v>
      </c>
      <c r="G302" s="2" t="s">
        <v>72</v>
      </c>
      <c r="H302" s="2"/>
      <c r="I302" s="2" t="n">
        <v>6</v>
      </c>
      <c r="J302" s="2" t="n">
        <v>2</v>
      </c>
      <c r="K302" s="2" t="s">
        <v>813</v>
      </c>
      <c r="L302" s="2"/>
      <c r="M302" s="2"/>
      <c r="N302" s="2"/>
      <c r="O302" s="3"/>
      <c r="P302" s="2" t="s">
        <v>54</v>
      </c>
      <c r="Q302" s="2" t="s">
        <v>55</v>
      </c>
      <c r="R302" s="2" t="s">
        <v>2062</v>
      </c>
      <c r="S302" s="2" t="s">
        <v>2063</v>
      </c>
      <c r="T302" s="3" t="s">
        <v>2064</v>
      </c>
      <c r="U302" s="3" t="s">
        <v>2037</v>
      </c>
      <c r="V302" s="3" t="s">
        <v>2065</v>
      </c>
      <c r="W302" s="3" t="s">
        <v>2066</v>
      </c>
      <c r="X302" s="2" t="n">
        <v>8</v>
      </c>
      <c r="Y302" s="2" t="n">
        <v>3</v>
      </c>
      <c r="Z302" s="2" t="s">
        <v>47</v>
      </c>
      <c r="AA302" s="3"/>
      <c r="AB302" s="5"/>
      <c r="AC302" s="5"/>
      <c r="AD302" s="3"/>
      <c r="AE302" s="3" t="s">
        <v>2067</v>
      </c>
    </row>
    <row r="303" customFormat="false" ht="60" hidden="false" customHeight="true" outlineLevel="0" collapsed="false">
      <c r="A303" s="2" t="s">
        <v>2068</v>
      </c>
      <c r="B303" s="2" t="n">
        <v>2024</v>
      </c>
      <c r="C303" s="2" t="s">
        <v>160</v>
      </c>
      <c r="D303" s="2" t="s">
        <v>316</v>
      </c>
      <c r="E303" s="2" t="s">
        <v>104</v>
      </c>
      <c r="F303" s="2" t="n">
        <v>2</v>
      </c>
      <c r="G303" s="2" t="s">
        <v>35</v>
      </c>
      <c r="H303" s="2" t="s">
        <v>1199</v>
      </c>
      <c r="I303" s="2" t="n">
        <v>8</v>
      </c>
      <c r="J303" s="2" t="n">
        <v>2</v>
      </c>
      <c r="K303" s="2" t="s">
        <v>64</v>
      </c>
      <c r="L303" s="2" t="s">
        <v>86</v>
      </c>
      <c r="M303" s="2"/>
      <c r="N303" s="2"/>
      <c r="O303" s="3"/>
      <c r="P303" s="2" t="s">
        <v>185</v>
      </c>
      <c r="Q303" s="2" t="s">
        <v>186</v>
      </c>
      <c r="R303" s="2" t="s">
        <v>317</v>
      </c>
      <c r="S303" s="2" t="s">
        <v>1451</v>
      </c>
      <c r="T303" s="3" t="s">
        <v>2069</v>
      </c>
      <c r="U303" s="3"/>
      <c r="V303" s="3" t="s">
        <v>2070</v>
      </c>
      <c r="W303" s="3" t="s">
        <v>2071</v>
      </c>
      <c r="X303" s="2" t="n">
        <v>9</v>
      </c>
      <c r="Y303" s="2" t="n">
        <v>3</v>
      </c>
      <c r="Z303" s="2" t="s">
        <v>47</v>
      </c>
      <c r="AA303" s="3"/>
      <c r="AB303" s="5"/>
      <c r="AC303" s="5"/>
      <c r="AD303" s="3"/>
      <c r="AE303" s="3" t="s">
        <v>2072</v>
      </c>
    </row>
    <row r="304" customFormat="false" ht="60" hidden="false" customHeight="true" outlineLevel="0" collapsed="false">
      <c r="A304" s="2" t="s">
        <v>2073</v>
      </c>
      <c r="B304" s="2" t="n">
        <v>2024</v>
      </c>
      <c r="C304" s="2" t="s">
        <v>160</v>
      </c>
      <c r="D304" s="2" t="s">
        <v>316</v>
      </c>
      <c r="E304" s="2" t="s">
        <v>104</v>
      </c>
      <c r="F304" s="2" t="n">
        <v>2</v>
      </c>
      <c r="G304" s="2" t="s">
        <v>52</v>
      </c>
      <c r="H304" s="2" t="s">
        <v>1199</v>
      </c>
      <c r="I304" s="2" t="n">
        <v>12</v>
      </c>
      <c r="J304" s="2" t="n">
        <v>4</v>
      </c>
      <c r="K304" s="2" t="s">
        <v>813</v>
      </c>
      <c r="L304" s="2"/>
      <c r="M304" s="2"/>
      <c r="N304" s="2"/>
      <c r="O304" s="3"/>
      <c r="P304" s="2" t="s">
        <v>124</v>
      </c>
      <c r="Q304" s="2" t="s">
        <v>125</v>
      </c>
      <c r="R304" s="2" t="s">
        <v>126</v>
      </c>
      <c r="S304" s="2" t="s">
        <v>847</v>
      </c>
      <c r="T304" s="3" t="s">
        <v>2074</v>
      </c>
      <c r="U304" s="3"/>
      <c r="V304" s="3" t="s">
        <v>2075</v>
      </c>
      <c r="W304" s="3" t="s">
        <v>2076</v>
      </c>
      <c r="X304" s="2" t="n">
        <v>10</v>
      </c>
      <c r="Y304" s="2" t="n">
        <v>3</v>
      </c>
      <c r="Z304" s="2" t="s">
        <v>47</v>
      </c>
      <c r="AA304" s="3"/>
      <c r="AB304" s="5"/>
      <c r="AC304" s="5"/>
      <c r="AD304" s="3" t="s">
        <v>2077</v>
      </c>
      <c r="AE304" s="3" t="s">
        <v>2078</v>
      </c>
    </row>
    <row r="305" customFormat="false" ht="60" hidden="false" customHeight="true" outlineLevel="0" collapsed="false">
      <c r="A305" s="2" t="s">
        <v>2079</v>
      </c>
      <c r="B305" s="2" t="n">
        <v>2024</v>
      </c>
      <c r="C305" s="2" t="s">
        <v>160</v>
      </c>
      <c r="D305" s="2" t="s">
        <v>316</v>
      </c>
      <c r="E305" s="2" t="s">
        <v>104</v>
      </c>
      <c r="F305" s="2" t="n">
        <v>3</v>
      </c>
      <c r="G305" s="2" t="s">
        <v>35</v>
      </c>
      <c r="H305" s="2" t="s">
        <v>1199</v>
      </c>
      <c r="I305" s="2" t="n">
        <v>8</v>
      </c>
      <c r="J305" s="2" t="n">
        <v>2</v>
      </c>
      <c r="K305" s="2" t="s">
        <v>64</v>
      </c>
      <c r="L305" s="2" t="s">
        <v>86</v>
      </c>
      <c r="M305" s="2" t="s">
        <v>37</v>
      </c>
      <c r="N305" s="2"/>
      <c r="O305" s="3" t="s">
        <v>73</v>
      </c>
      <c r="P305" s="2" t="s">
        <v>106</v>
      </c>
      <c r="Q305" s="2" t="s">
        <v>107</v>
      </c>
      <c r="R305" s="2" t="s">
        <v>2080</v>
      </c>
      <c r="S305" s="2" t="s">
        <v>2081</v>
      </c>
      <c r="T305" s="3" t="s">
        <v>2082</v>
      </c>
      <c r="U305" s="3"/>
      <c r="V305" s="3" t="s">
        <v>2083</v>
      </c>
      <c r="W305" s="3" t="s">
        <v>2084</v>
      </c>
      <c r="X305" s="2" t="n">
        <v>11</v>
      </c>
      <c r="Y305" s="2" t="n">
        <v>3</v>
      </c>
      <c r="Z305" s="2" t="s">
        <v>47</v>
      </c>
      <c r="AA305" s="3"/>
      <c r="AB305" s="5"/>
      <c r="AC305" s="5"/>
      <c r="AD305" s="3"/>
      <c r="AE305" s="3" t="s">
        <v>2085</v>
      </c>
    </row>
    <row r="306" customFormat="false" ht="60" hidden="false" customHeight="true" outlineLevel="0" collapsed="false">
      <c r="A306" s="2" t="s">
        <v>2086</v>
      </c>
      <c r="B306" s="2" t="n">
        <v>2024</v>
      </c>
      <c r="C306" s="2" t="s">
        <v>160</v>
      </c>
      <c r="D306" s="2" t="s">
        <v>316</v>
      </c>
      <c r="E306" s="2" t="s">
        <v>104</v>
      </c>
      <c r="F306" s="2" t="n">
        <v>3</v>
      </c>
      <c r="G306" s="2" t="s">
        <v>52</v>
      </c>
      <c r="H306" s="2" t="s">
        <v>1199</v>
      </c>
      <c r="I306" s="2" t="n">
        <v>12</v>
      </c>
      <c r="J306" s="2" t="n">
        <v>4</v>
      </c>
      <c r="K306" s="2" t="s">
        <v>813</v>
      </c>
      <c r="L306" s="2"/>
      <c r="M306" s="2"/>
      <c r="N306" s="2"/>
      <c r="O306" s="3" t="s">
        <v>527</v>
      </c>
      <c r="P306" s="2" t="s">
        <v>106</v>
      </c>
      <c r="Q306" s="2" t="s">
        <v>107</v>
      </c>
      <c r="R306" s="2" t="s">
        <v>828</v>
      </c>
      <c r="S306" s="2" t="s">
        <v>2087</v>
      </c>
      <c r="T306" s="3" t="s">
        <v>2088</v>
      </c>
      <c r="U306" s="3"/>
      <c r="V306" s="3" t="s">
        <v>2089</v>
      </c>
      <c r="W306" s="3" t="s">
        <v>2090</v>
      </c>
      <c r="X306" s="2" t="n">
        <v>12</v>
      </c>
      <c r="Y306" s="2" t="n">
        <v>3</v>
      </c>
      <c r="Z306" s="2" t="s">
        <v>47</v>
      </c>
      <c r="AA306" s="3"/>
      <c r="AB306" s="5"/>
      <c r="AC306" s="5"/>
      <c r="AD306" s="3"/>
      <c r="AE306" s="3" t="s">
        <v>2091</v>
      </c>
    </row>
    <row r="307" customFormat="false" ht="60" hidden="false" customHeight="true" outlineLevel="0" collapsed="false">
      <c r="A307" s="2" t="s">
        <v>2092</v>
      </c>
      <c r="B307" s="2" t="n">
        <v>2024</v>
      </c>
      <c r="C307" s="2" t="s">
        <v>160</v>
      </c>
      <c r="D307" s="2" t="s">
        <v>316</v>
      </c>
      <c r="E307" s="2" t="s">
        <v>1230</v>
      </c>
      <c r="F307" s="2" t="n">
        <v>4</v>
      </c>
      <c r="G307" s="2" t="s">
        <v>35</v>
      </c>
      <c r="H307" s="2" t="s">
        <v>1231</v>
      </c>
      <c r="I307" s="2" t="n">
        <v>8</v>
      </c>
      <c r="J307" s="2" t="n">
        <v>2</v>
      </c>
      <c r="K307" s="2" t="s">
        <v>64</v>
      </c>
      <c r="L307" s="2" t="s">
        <v>86</v>
      </c>
      <c r="M307" s="2" t="s">
        <v>37</v>
      </c>
      <c r="N307" s="2"/>
      <c r="O307" s="3" t="s">
        <v>73</v>
      </c>
      <c r="P307" s="2" t="s">
        <v>201</v>
      </c>
      <c r="Q307" s="2" t="s">
        <v>202</v>
      </c>
      <c r="R307" s="2" t="s">
        <v>1681</v>
      </c>
      <c r="S307" s="2" t="s">
        <v>2093</v>
      </c>
      <c r="T307" s="3" t="s">
        <v>2094</v>
      </c>
      <c r="U307" s="3"/>
      <c r="V307" s="3" t="s">
        <v>2095</v>
      </c>
      <c r="W307" s="3" t="s">
        <v>2096</v>
      </c>
      <c r="X307" s="2" t="n">
        <v>13</v>
      </c>
      <c r="Y307" s="2" t="n">
        <v>4</v>
      </c>
      <c r="Z307" s="2" t="s">
        <v>47</v>
      </c>
      <c r="AA307" s="3"/>
      <c r="AB307" s="5"/>
      <c r="AC307" s="5"/>
      <c r="AD307" s="3" t="s">
        <v>2097</v>
      </c>
      <c r="AE307" s="3" t="s">
        <v>2098</v>
      </c>
    </row>
    <row r="308" customFormat="false" ht="60" hidden="false" customHeight="true" outlineLevel="0" collapsed="false">
      <c r="A308" s="2" t="s">
        <v>2099</v>
      </c>
      <c r="B308" s="2" t="n">
        <v>2024</v>
      </c>
      <c r="C308" s="2" t="s">
        <v>160</v>
      </c>
      <c r="D308" s="2" t="s">
        <v>316</v>
      </c>
      <c r="E308" s="2" t="s">
        <v>1230</v>
      </c>
      <c r="F308" s="2" t="n">
        <v>4</v>
      </c>
      <c r="G308" s="2" t="s">
        <v>52</v>
      </c>
      <c r="H308" s="2" t="s">
        <v>1231</v>
      </c>
      <c r="I308" s="2" t="n">
        <v>12</v>
      </c>
      <c r="J308" s="2" t="n">
        <v>4</v>
      </c>
      <c r="K308" s="2" t="s">
        <v>813</v>
      </c>
      <c r="L308" s="2"/>
      <c r="M308" s="2"/>
      <c r="N308" s="2"/>
      <c r="O308" s="3" t="s">
        <v>308</v>
      </c>
      <c r="P308" s="2" t="s">
        <v>1266</v>
      </c>
      <c r="Q308" s="2" t="s">
        <v>1267</v>
      </c>
      <c r="R308" s="2" t="s">
        <v>2100</v>
      </c>
      <c r="S308" s="2" t="s">
        <v>2101</v>
      </c>
      <c r="T308" s="3" t="s">
        <v>2102</v>
      </c>
      <c r="U308" s="3"/>
      <c r="V308" s="3" t="s">
        <v>2103</v>
      </c>
      <c r="W308" s="3" t="s">
        <v>2104</v>
      </c>
      <c r="X308" s="2" t="n">
        <v>14</v>
      </c>
      <c r="Y308" s="2" t="n">
        <v>4</v>
      </c>
      <c r="Z308" s="2" t="s">
        <v>47</v>
      </c>
      <c r="AA308" s="3"/>
      <c r="AB308" s="5"/>
      <c r="AC308" s="5"/>
      <c r="AD308" s="3"/>
      <c r="AE308" s="3" t="s">
        <v>2105</v>
      </c>
    </row>
    <row r="309" customFormat="false" ht="60" hidden="false" customHeight="true" outlineLevel="0" collapsed="false">
      <c r="A309" s="2" t="s">
        <v>2106</v>
      </c>
      <c r="B309" s="2" t="n">
        <v>2024</v>
      </c>
      <c r="C309" s="2" t="s">
        <v>160</v>
      </c>
      <c r="D309" s="2" t="s">
        <v>316</v>
      </c>
      <c r="E309" s="2" t="s">
        <v>1230</v>
      </c>
      <c r="F309" s="2" t="n">
        <v>5</v>
      </c>
      <c r="G309" s="2" t="s">
        <v>35</v>
      </c>
      <c r="H309" s="2" t="s">
        <v>1231</v>
      </c>
      <c r="I309" s="2" t="n">
        <v>8</v>
      </c>
      <c r="J309" s="2" t="n">
        <v>2</v>
      </c>
      <c r="K309" s="2" t="s">
        <v>64</v>
      </c>
      <c r="L309" s="2" t="s">
        <v>86</v>
      </c>
      <c r="M309" s="2"/>
      <c r="N309" s="2"/>
      <c r="O309" s="3"/>
      <c r="P309" s="2" t="s">
        <v>193</v>
      </c>
      <c r="Q309" s="2" t="s">
        <v>194</v>
      </c>
      <c r="R309" s="2" t="s">
        <v>528</v>
      </c>
      <c r="S309" s="2" t="s">
        <v>649</v>
      </c>
      <c r="T309" s="3" t="s">
        <v>2107</v>
      </c>
      <c r="U309" s="3"/>
      <c r="V309" s="3" t="s">
        <v>2108</v>
      </c>
      <c r="W309" s="3" t="s">
        <v>2109</v>
      </c>
      <c r="X309" s="2" t="n">
        <v>15</v>
      </c>
      <c r="Y309" s="2" t="n">
        <v>4</v>
      </c>
      <c r="Z309" s="2" t="s">
        <v>47</v>
      </c>
      <c r="AA309" s="3"/>
      <c r="AB309" s="5"/>
      <c r="AC309" s="5"/>
      <c r="AD309" s="3" t="s">
        <v>2110</v>
      </c>
      <c r="AE309" s="3" t="s">
        <v>2111</v>
      </c>
    </row>
    <row r="310" customFormat="false" ht="60" hidden="false" customHeight="true" outlineLevel="0" collapsed="false">
      <c r="A310" s="2" t="s">
        <v>2112</v>
      </c>
      <c r="B310" s="2" t="n">
        <v>2024</v>
      </c>
      <c r="C310" s="2" t="s">
        <v>160</v>
      </c>
      <c r="D310" s="2" t="s">
        <v>316</v>
      </c>
      <c r="E310" s="2" t="s">
        <v>1230</v>
      </c>
      <c r="F310" s="2" t="n">
        <v>5</v>
      </c>
      <c r="G310" s="2" t="s">
        <v>52</v>
      </c>
      <c r="H310" s="2" t="s">
        <v>1231</v>
      </c>
      <c r="I310" s="2" t="n">
        <v>12</v>
      </c>
      <c r="J310" s="2" t="n">
        <v>4</v>
      </c>
      <c r="K310" s="2" t="s">
        <v>813</v>
      </c>
      <c r="L310" s="2"/>
      <c r="M310" s="2"/>
      <c r="N310" s="2"/>
      <c r="O310" s="3" t="s">
        <v>232</v>
      </c>
      <c r="P310" s="2" t="s">
        <v>133</v>
      </c>
      <c r="Q310" s="2" t="s">
        <v>134</v>
      </c>
      <c r="R310" s="2" t="s">
        <v>274</v>
      </c>
      <c r="S310" s="2" t="s">
        <v>2113</v>
      </c>
      <c r="T310" s="3" t="s">
        <v>2114</v>
      </c>
      <c r="U310" s="3"/>
      <c r="V310" s="3" t="s">
        <v>2115</v>
      </c>
      <c r="W310" s="3" t="s">
        <v>2116</v>
      </c>
      <c r="X310" s="2" t="n">
        <v>16</v>
      </c>
      <c r="Y310" s="2" t="n">
        <v>4</v>
      </c>
      <c r="Z310" s="2" t="s">
        <v>47</v>
      </c>
      <c r="AA310" s="3"/>
      <c r="AB310" s="5"/>
      <c r="AC310" s="5"/>
      <c r="AD310" s="3"/>
      <c r="AE310" s="3" t="s">
        <v>2111</v>
      </c>
    </row>
    <row r="311" customFormat="false" ht="60" hidden="false" customHeight="true" outlineLevel="0" collapsed="false">
      <c r="A311" s="2" t="s">
        <v>2117</v>
      </c>
      <c r="B311" s="2" t="n">
        <v>2024</v>
      </c>
      <c r="C311" s="2" t="s">
        <v>389</v>
      </c>
      <c r="D311" s="2" t="s">
        <v>161</v>
      </c>
      <c r="E311" s="2" t="s">
        <v>34</v>
      </c>
      <c r="F311" s="2" t="n">
        <v>1</v>
      </c>
      <c r="G311" s="2" t="s">
        <v>35</v>
      </c>
      <c r="H311" s="2"/>
      <c r="I311" s="2" t="n">
        <v>2</v>
      </c>
      <c r="J311" s="2" t="n">
        <v>0</v>
      </c>
      <c r="K311" s="2" t="s">
        <v>163</v>
      </c>
      <c r="L311" s="2"/>
      <c r="M311" s="2"/>
      <c r="N311" s="2"/>
      <c r="O311" s="3"/>
      <c r="P311" s="2" t="s">
        <v>39</v>
      </c>
      <c r="Q311" s="2" t="s">
        <v>40</v>
      </c>
      <c r="R311" s="2" t="s">
        <v>41</v>
      </c>
      <c r="S311" s="2" t="s">
        <v>42</v>
      </c>
      <c r="T311" s="3" t="s">
        <v>2118</v>
      </c>
      <c r="U311" s="3" t="s">
        <v>2119</v>
      </c>
      <c r="V311" s="3" t="s">
        <v>2120</v>
      </c>
      <c r="W311" s="3" t="s">
        <v>2121</v>
      </c>
      <c r="X311" s="2" t="n">
        <v>8</v>
      </c>
      <c r="Y311" s="2" t="n">
        <v>3</v>
      </c>
      <c r="Z311" s="2" t="s">
        <v>47</v>
      </c>
      <c r="AA311" s="3"/>
      <c r="AB311" s="5"/>
      <c r="AC311" s="5"/>
      <c r="AD311" s="3" t="s">
        <v>2122</v>
      </c>
      <c r="AE311" s="3" t="s">
        <v>2123</v>
      </c>
    </row>
    <row r="312" customFormat="false" ht="60" hidden="false" customHeight="true" outlineLevel="0" collapsed="false">
      <c r="A312" s="2" t="s">
        <v>2124</v>
      </c>
      <c r="B312" s="2" t="n">
        <v>2024</v>
      </c>
      <c r="C312" s="2" t="s">
        <v>389</v>
      </c>
      <c r="D312" s="2" t="s">
        <v>161</v>
      </c>
      <c r="E312" s="2" t="s">
        <v>34</v>
      </c>
      <c r="F312" s="2" t="n">
        <v>1</v>
      </c>
      <c r="G312" s="2" t="s">
        <v>52</v>
      </c>
      <c r="H312" s="2"/>
      <c r="I312" s="2" t="n">
        <v>2</v>
      </c>
      <c r="J312" s="2" t="n">
        <v>0</v>
      </c>
      <c r="K312" s="2" t="s">
        <v>64</v>
      </c>
      <c r="L312" s="2"/>
      <c r="M312" s="2"/>
      <c r="N312" s="2"/>
      <c r="O312" s="3"/>
      <c r="P312" s="2" t="s">
        <v>39</v>
      </c>
      <c r="Q312" s="2" t="s">
        <v>40</v>
      </c>
      <c r="R312" s="2" t="s">
        <v>404</v>
      </c>
      <c r="S312" s="2" t="s">
        <v>2035</v>
      </c>
      <c r="T312" s="3" t="s">
        <v>2036</v>
      </c>
      <c r="U312" s="3" t="s">
        <v>2119</v>
      </c>
      <c r="V312" s="3" t="s">
        <v>2125</v>
      </c>
      <c r="W312" s="3" t="s">
        <v>2126</v>
      </c>
      <c r="X312" s="2" t="n">
        <v>8</v>
      </c>
      <c r="Y312" s="2" t="n">
        <v>3</v>
      </c>
      <c r="Z312" s="2" t="s">
        <v>47</v>
      </c>
      <c r="AA312" s="3"/>
      <c r="AB312" s="5"/>
      <c r="AC312" s="5"/>
      <c r="AD312" s="3"/>
      <c r="AE312" s="3" t="s">
        <v>2127</v>
      </c>
    </row>
    <row r="313" customFormat="false" ht="60" hidden="false" customHeight="true" outlineLevel="0" collapsed="false">
      <c r="A313" s="2" t="s">
        <v>2128</v>
      </c>
      <c r="B313" s="2" t="n">
        <v>2024</v>
      </c>
      <c r="C313" s="2" t="s">
        <v>389</v>
      </c>
      <c r="D313" s="2" t="s">
        <v>161</v>
      </c>
      <c r="E313" s="2" t="s">
        <v>34</v>
      </c>
      <c r="F313" s="2" t="n">
        <v>1</v>
      </c>
      <c r="G313" s="2" t="s">
        <v>63</v>
      </c>
      <c r="H313" s="2"/>
      <c r="I313" s="2" t="n">
        <v>4</v>
      </c>
      <c r="J313" s="2" t="n">
        <v>1</v>
      </c>
      <c r="K313" s="2" t="s">
        <v>86</v>
      </c>
      <c r="L313" s="2"/>
      <c r="M313" s="2"/>
      <c r="N313" s="2"/>
      <c r="O313" s="3" t="s">
        <v>232</v>
      </c>
      <c r="P313" s="2" t="s">
        <v>39</v>
      </c>
      <c r="Q313" s="2" t="s">
        <v>40</v>
      </c>
      <c r="R313" s="2" t="s">
        <v>41</v>
      </c>
      <c r="S313" s="2" t="s">
        <v>405</v>
      </c>
      <c r="T313" s="3" t="s">
        <v>2129</v>
      </c>
      <c r="U313" s="3" t="s">
        <v>2119</v>
      </c>
      <c r="V313" s="3" t="s">
        <v>2130</v>
      </c>
      <c r="W313" s="3" t="s">
        <v>2131</v>
      </c>
      <c r="X313" s="2" t="n">
        <v>8</v>
      </c>
      <c r="Y313" s="2" t="n">
        <v>3</v>
      </c>
      <c r="Z313" s="2" t="s">
        <v>47</v>
      </c>
      <c r="AA313" s="3"/>
      <c r="AB313" s="5"/>
      <c r="AC313" s="5"/>
      <c r="AD313" s="3"/>
      <c r="AE313" s="3" t="s">
        <v>2132</v>
      </c>
    </row>
    <row r="314" customFormat="false" ht="60" hidden="false" customHeight="true" outlineLevel="0" collapsed="false">
      <c r="A314" s="2" t="s">
        <v>2133</v>
      </c>
      <c r="B314" s="2" t="n">
        <v>2024</v>
      </c>
      <c r="C314" s="2" t="s">
        <v>389</v>
      </c>
      <c r="D314" s="2" t="s">
        <v>161</v>
      </c>
      <c r="E314" s="2" t="s">
        <v>34</v>
      </c>
      <c r="F314" s="2" t="n">
        <v>1</v>
      </c>
      <c r="G314" s="2" t="s">
        <v>72</v>
      </c>
      <c r="H314" s="2"/>
      <c r="I314" s="2" t="n">
        <v>6</v>
      </c>
      <c r="J314" s="2" t="n">
        <v>2</v>
      </c>
      <c r="K314" s="2" t="s">
        <v>813</v>
      </c>
      <c r="L314" s="2"/>
      <c r="M314" s="2"/>
      <c r="N314" s="2"/>
      <c r="O314" s="3" t="s">
        <v>504</v>
      </c>
      <c r="P314" s="2" t="s">
        <v>151</v>
      </c>
      <c r="Q314" s="2" t="s">
        <v>152</v>
      </c>
      <c r="R314" s="2" t="s">
        <v>950</v>
      </c>
      <c r="S314" s="2" t="s">
        <v>951</v>
      </c>
      <c r="T314" s="3" t="s">
        <v>1583</v>
      </c>
      <c r="U314" s="3" t="s">
        <v>2119</v>
      </c>
      <c r="V314" s="3" t="s">
        <v>2134</v>
      </c>
      <c r="W314" s="3" t="s">
        <v>2135</v>
      </c>
      <c r="X314" s="2" t="n">
        <v>9</v>
      </c>
      <c r="Y314" s="2" t="n">
        <v>3</v>
      </c>
      <c r="Z314" s="2" t="s">
        <v>47</v>
      </c>
      <c r="AA314" s="3"/>
      <c r="AB314" s="5"/>
      <c r="AC314" s="5"/>
      <c r="AD314" s="3" t="s">
        <v>2136</v>
      </c>
      <c r="AE314" s="3" t="s">
        <v>2137</v>
      </c>
    </row>
    <row r="315" customFormat="false" ht="60" hidden="false" customHeight="true" outlineLevel="0" collapsed="false">
      <c r="A315" s="2" t="s">
        <v>2138</v>
      </c>
      <c r="B315" s="2" t="n">
        <v>2024</v>
      </c>
      <c r="C315" s="2" t="s">
        <v>389</v>
      </c>
      <c r="D315" s="2" t="s">
        <v>161</v>
      </c>
      <c r="E315" s="2" t="s">
        <v>34</v>
      </c>
      <c r="F315" s="2" t="n">
        <v>1</v>
      </c>
      <c r="G315" s="2" t="s">
        <v>84</v>
      </c>
      <c r="H315" s="2"/>
      <c r="I315" s="2" t="n">
        <v>6</v>
      </c>
      <c r="J315" s="2" t="n">
        <v>2</v>
      </c>
      <c r="K315" s="2" t="s">
        <v>813</v>
      </c>
      <c r="L315" s="2"/>
      <c r="M315" s="2"/>
      <c r="N315" s="2"/>
      <c r="O315" s="3"/>
      <c r="P315" s="2" t="s">
        <v>87</v>
      </c>
      <c r="Q315" s="2" t="s">
        <v>88</v>
      </c>
      <c r="R315" s="2" t="s">
        <v>663</v>
      </c>
      <c r="S315" s="2" t="s">
        <v>90</v>
      </c>
      <c r="T315" s="3" t="s">
        <v>2139</v>
      </c>
      <c r="U315" s="3" t="s">
        <v>2119</v>
      </c>
      <c r="V315" s="3" t="s">
        <v>2140</v>
      </c>
      <c r="W315" s="3" t="s">
        <v>2141</v>
      </c>
      <c r="X315" s="2" t="n">
        <v>9</v>
      </c>
      <c r="Y315" s="2" t="n">
        <v>3</v>
      </c>
      <c r="Z315" s="2" t="s">
        <v>47</v>
      </c>
      <c r="AA315" s="3"/>
      <c r="AB315" s="5"/>
      <c r="AC315" s="5"/>
      <c r="AD315" s="3"/>
      <c r="AE315" s="3" t="s">
        <v>2142</v>
      </c>
    </row>
    <row r="316" customFormat="false" ht="60" hidden="false" customHeight="true" outlineLevel="0" collapsed="false">
      <c r="A316" s="2" t="s">
        <v>2143</v>
      </c>
      <c r="B316" s="2" t="n">
        <v>2024</v>
      </c>
      <c r="C316" s="2" t="s">
        <v>389</v>
      </c>
      <c r="D316" s="2" t="s">
        <v>161</v>
      </c>
      <c r="E316" s="2" t="s">
        <v>104</v>
      </c>
      <c r="F316" s="2" t="n">
        <v>2</v>
      </c>
      <c r="G316" s="2" t="s">
        <v>35</v>
      </c>
      <c r="H316" s="2" t="s">
        <v>1199</v>
      </c>
      <c r="I316" s="2" t="n">
        <v>8</v>
      </c>
      <c r="J316" s="2" t="n">
        <v>2</v>
      </c>
      <c r="K316" s="2" t="s">
        <v>64</v>
      </c>
      <c r="L316" s="2" t="s">
        <v>86</v>
      </c>
      <c r="M316" s="2"/>
      <c r="N316" s="2"/>
      <c r="O316" s="3"/>
      <c r="P316" s="2" t="s">
        <v>185</v>
      </c>
      <c r="Q316" s="2" t="s">
        <v>186</v>
      </c>
      <c r="R316" s="2" t="s">
        <v>317</v>
      </c>
      <c r="S316" s="2" t="s">
        <v>2144</v>
      </c>
      <c r="T316" s="3" t="s">
        <v>2145</v>
      </c>
      <c r="U316" s="3"/>
      <c r="V316" s="3" t="s">
        <v>2146</v>
      </c>
      <c r="W316" s="3" t="s">
        <v>2147</v>
      </c>
      <c r="X316" s="2" t="n">
        <v>10</v>
      </c>
      <c r="Y316" s="2" t="n">
        <v>4</v>
      </c>
      <c r="Z316" s="2" t="s">
        <v>47</v>
      </c>
      <c r="AA316" s="3"/>
      <c r="AB316" s="5"/>
      <c r="AC316" s="5"/>
      <c r="AD316" s="3"/>
      <c r="AE316" s="3" t="s">
        <v>2148</v>
      </c>
    </row>
    <row r="317" customFormat="false" ht="60" hidden="false" customHeight="true" outlineLevel="0" collapsed="false">
      <c r="A317" s="2" t="s">
        <v>2149</v>
      </c>
      <c r="B317" s="2" t="n">
        <v>2024</v>
      </c>
      <c r="C317" s="2" t="s">
        <v>389</v>
      </c>
      <c r="D317" s="2" t="s">
        <v>161</v>
      </c>
      <c r="E317" s="2" t="s">
        <v>104</v>
      </c>
      <c r="F317" s="2" t="n">
        <v>2</v>
      </c>
      <c r="G317" s="2" t="s">
        <v>52</v>
      </c>
      <c r="H317" s="2" t="s">
        <v>1199</v>
      </c>
      <c r="I317" s="2" t="n">
        <v>12</v>
      </c>
      <c r="J317" s="2" t="n">
        <v>4</v>
      </c>
      <c r="K317" s="2" t="s">
        <v>813</v>
      </c>
      <c r="L317" s="2"/>
      <c r="M317" s="2"/>
      <c r="N317" s="2"/>
      <c r="O317" s="3" t="s">
        <v>308</v>
      </c>
      <c r="P317" s="2" t="s">
        <v>694</v>
      </c>
      <c r="Q317" s="2" t="s">
        <v>695</v>
      </c>
      <c r="R317" s="2" t="s">
        <v>696</v>
      </c>
      <c r="S317" s="2" t="s">
        <v>697</v>
      </c>
      <c r="T317" s="3" t="s">
        <v>2150</v>
      </c>
      <c r="U317" s="3"/>
      <c r="V317" s="3" t="s">
        <v>2151</v>
      </c>
      <c r="W317" s="3" t="s">
        <v>2152</v>
      </c>
      <c r="X317" s="2" t="n">
        <v>11</v>
      </c>
      <c r="Y317" s="2" t="n">
        <v>4</v>
      </c>
      <c r="Z317" s="2" t="s">
        <v>47</v>
      </c>
      <c r="AA317" s="3"/>
      <c r="AB317" s="5"/>
      <c r="AC317" s="5"/>
      <c r="AD317" s="3" t="s">
        <v>2153</v>
      </c>
      <c r="AE317" s="3" t="s">
        <v>2154</v>
      </c>
    </row>
    <row r="318" customFormat="false" ht="60" hidden="false" customHeight="true" outlineLevel="0" collapsed="false">
      <c r="A318" s="2" t="s">
        <v>2155</v>
      </c>
      <c r="B318" s="2" t="n">
        <v>2024</v>
      </c>
      <c r="C318" s="2" t="s">
        <v>389</v>
      </c>
      <c r="D318" s="2" t="s">
        <v>161</v>
      </c>
      <c r="E318" s="2" t="s">
        <v>104</v>
      </c>
      <c r="F318" s="2" t="n">
        <v>3</v>
      </c>
      <c r="G318" s="2" t="s">
        <v>35</v>
      </c>
      <c r="H318" s="2" t="s">
        <v>1199</v>
      </c>
      <c r="I318" s="2" t="n">
        <v>8</v>
      </c>
      <c r="J318" s="2" t="n">
        <v>2</v>
      </c>
      <c r="K318" s="2" t="s">
        <v>64</v>
      </c>
      <c r="L318" s="2" t="s">
        <v>86</v>
      </c>
      <c r="M318" s="2" t="s">
        <v>37</v>
      </c>
      <c r="N318" s="2"/>
      <c r="O318" s="3" t="s">
        <v>73</v>
      </c>
      <c r="P318" s="2" t="s">
        <v>106</v>
      </c>
      <c r="Q318" s="2" t="s">
        <v>107</v>
      </c>
      <c r="R318" s="2" t="s">
        <v>425</v>
      </c>
      <c r="S318" s="2" t="s">
        <v>1363</v>
      </c>
      <c r="T318" s="3" t="s">
        <v>2156</v>
      </c>
      <c r="U318" s="3"/>
      <c r="V318" s="3" t="s">
        <v>2157</v>
      </c>
      <c r="W318" s="3" t="s">
        <v>2158</v>
      </c>
      <c r="X318" s="2" t="n">
        <v>12</v>
      </c>
      <c r="Y318" s="2" t="n">
        <v>4</v>
      </c>
      <c r="Z318" s="2" t="s">
        <v>47</v>
      </c>
      <c r="AA318" s="3"/>
      <c r="AB318" s="5"/>
      <c r="AC318" s="5"/>
      <c r="AD318" s="3" t="s">
        <v>2159</v>
      </c>
      <c r="AE318" s="3" t="s">
        <v>2160</v>
      </c>
    </row>
    <row r="319" customFormat="false" ht="60" hidden="false" customHeight="true" outlineLevel="0" collapsed="false">
      <c r="A319" s="2" t="s">
        <v>2161</v>
      </c>
      <c r="B319" s="2" t="n">
        <v>2024</v>
      </c>
      <c r="C319" s="2" t="s">
        <v>389</v>
      </c>
      <c r="D319" s="2" t="s">
        <v>161</v>
      </c>
      <c r="E319" s="2" t="s">
        <v>104</v>
      </c>
      <c r="F319" s="2" t="n">
        <v>3</v>
      </c>
      <c r="G319" s="2" t="s">
        <v>52</v>
      </c>
      <c r="H319" s="2" t="s">
        <v>1199</v>
      </c>
      <c r="I319" s="2" t="n">
        <v>12</v>
      </c>
      <c r="J319" s="2" t="n">
        <v>4</v>
      </c>
      <c r="K319" s="2" t="s">
        <v>813</v>
      </c>
      <c r="L319" s="2"/>
      <c r="M319" s="2"/>
      <c r="N319" s="2"/>
      <c r="O319" s="3" t="s">
        <v>527</v>
      </c>
      <c r="P319" s="2" t="s">
        <v>433</v>
      </c>
      <c r="Q319" s="2" t="s">
        <v>434</v>
      </c>
      <c r="R319" s="2" t="s">
        <v>2162</v>
      </c>
      <c r="S319" s="2" t="s">
        <v>1207</v>
      </c>
      <c r="T319" s="3" t="s">
        <v>2163</v>
      </c>
      <c r="U319" s="3"/>
      <c r="V319" s="3" t="s">
        <v>2164</v>
      </c>
      <c r="W319" s="3" t="s">
        <v>2165</v>
      </c>
      <c r="X319" s="2" t="n">
        <v>13</v>
      </c>
      <c r="Y319" s="2" t="n">
        <v>4</v>
      </c>
      <c r="Z319" s="2" t="s">
        <v>47</v>
      </c>
      <c r="AA319" s="3"/>
      <c r="AB319" s="5"/>
      <c r="AC319" s="5"/>
      <c r="AD319" s="3"/>
      <c r="AE319" s="3" t="s">
        <v>2166</v>
      </c>
    </row>
    <row r="320" customFormat="false" ht="60" hidden="false" customHeight="true" outlineLevel="0" collapsed="false">
      <c r="A320" s="2" t="s">
        <v>2167</v>
      </c>
      <c r="B320" s="2" t="n">
        <v>2024</v>
      </c>
      <c r="C320" s="2" t="s">
        <v>389</v>
      </c>
      <c r="D320" s="2" t="s">
        <v>161</v>
      </c>
      <c r="E320" s="2" t="s">
        <v>1230</v>
      </c>
      <c r="F320" s="2" t="n">
        <v>4</v>
      </c>
      <c r="G320" s="2" t="s">
        <v>35</v>
      </c>
      <c r="H320" s="2" t="s">
        <v>1231</v>
      </c>
      <c r="I320" s="2" t="n">
        <v>8</v>
      </c>
      <c r="J320" s="2" t="n">
        <v>2</v>
      </c>
      <c r="K320" s="2" t="s">
        <v>64</v>
      </c>
      <c r="L320" s="2" t="s">
        <v>86</v>
      </c>
      <c r="M320" s="2"/>
      <c r="N320" s="2"/>
      <c r="O320" s="3" t="s">
        <v>527</v>
      </c>
      <c r="P320" s="2" t="s">
        <v>594</v>
      </c>
      <c r="Q320" s="2" t="s">
        <v>595</v>
      </c>
      <c r="R320" s="2" t="s">
        <v>1242</v>
      </c>
      <c r="S320" s="2" t="s">
        <v>2168</v>
      </c>
      <c r="T320" s="3" t="s">
        <v>2169</v>
      </c>
      <c r="U320" s="3"/>
      <c r="V320" s="3" t="s">
        <v>2170</v>
      </c>
      <c r="W320" s="3" t="s">
        <v>2171</v>
      </c>
      <c r="X320" s="2" t="n">
        <v>15</v>
      </c>
      <c r="Y320" s="2" t="n">
        <v>4</v>
      </c>
      <c r="Z320" s="2" t="s">
        <v>47</v>
      </c>
      <c r="AA320" s="3"/>
      <c r="AB320" s="5"/>
      <c r="AC320" s="5"/>
      <c r="AD320" s="3" t="s">
        <v>2172</v>
      </c>
      <c r="AE320" s="3" t="s">
        <v>2173</v>
      </c>
    </row>
    <row r="321" customFormat="false" ht="60" hidden="false" customHeight="true" outlineLevel="0" collapsed="false">
      <c r="A321" s="2" t="s">
        <v>2174</v>
      </c>
      <c r="B321" s="2" t="n">
        <v>2024</v>
      </c>
      <c r="C321" s="2" t="s">
        <v>389</v>
      </c>
      <c r="D321" s="2" t="s">
        <v>161</v>
      </c>
      <c r="E321" s="2" t="s">
        <v>1230</v>
      </c>
      <c r="F321" s="2" t="n">
        <v>4</v>
      </c>
      <c r="G321" s="2" t="s">
        <v>52</v>
      </c>
      <c r="H321" s="2" t="s">
        <v>1231</v>
      </c>
      <c r="I321" s="2" t="n">
        <v>12</v>
      </c>
      <c r="J321" s="2" t="n">
        <v>4</v>
      </c>
      <c r="K321" s="2" t="s">
        <v>813</v>
      </c>
      <c r="L321" s="2"/>
      <c r="M321" s="2"/>
      <c r="N321" s="2"/>
      <c r="O321" s="3" t="s">
        <v>527</v>
      </c>
      <c r="P321" s="2" t="s">
        <v>54</v>
      </c>
      <c r="Q321" s="2" t="s">
        <v>55</v>
      </c>
      <c r="R321" s="2" t="s">
        <v>56</v>
      </c>
      <c r="S321" s="2" t="s">
        <v>1176</v>
      </c>
      <c r="T321" s="3" t="s">
        <v>2175</v>
      </c>
      <c r="U321" s="3"/>
      <c r="V321" s="3" t="s">
        <v>2176</v>
      </c>
      <c r="W321" s="3" t="s">
        <v>2177</v>
      </c>
      <c r="X321" s="2" t="n">
        <v>16</v>
      </c>
      <c r="Y321" s="2" t="n">
        <v>4</v>
      </c>
      <c r="Z321" s="2" t="s">
        <v>47</v>
      </c>
      <c r="AA321" s="3"/>
      <c r="AB321" s="5"/>
      <c r="AC321" s="5"/>
      <c r="AD321" s="3" t="s">
        <v>2178</v>
      </c>
      <c r="AE321" s="3" t="s">
        <v>2179</v>
      </c>
    </row>
    <row r="322" customFormat="false" ht="60" hidden="false" customHeight="true" outlineLevel="0" collapsed="false">
      <c r="A322" s="2" t="s">
        <v>2180</v>
      </c>
      <c r="B322" s="2" t="n">
        <v>2024</v>
      </c>
      <c r="C322" s="2" t="s">
        <v>389</v>
      </c>
      <c r="D322" s="2" t="s">
        <v>161</v>
      </c>
      <c r="E322" s="2" t="s">
        <v>1230</v>
      </c>
      <c r="F322" s="2" t="n">
        <v>5</v>
      </c>
      <c r="G322" s="2" t="s">
        <v>35</v>
      </c>
      <c r="H322" s="2" t="s">
        <v>1231</v>
      </c>
      <c r="I322" s="2" t="n">
        <v>8</v>
      </c>
      <c r="J322" s="2" t="n">
        <v>2</v>
      </c>
      <c r="K322" s="2" t="s">
        <v>64</v>
      </c>
      <c r="L322" s="2" t="s">
        <v>86</v>
      </c>
      <c r="M322" s="2"/>
      <c r="N322" s="2"/>
      <c r="O322" s="3" t="s">
        <v>527</v>
      </c>
      <c r="P322" s="2" t="s">
        <v>193</v>
      </c>
      <c r="Q322" s="2" t="s">
        <v>194</v>
      </c>
      <c r="R322" s="2" t="s">
        <v>383</v>
      </c>
      <c r="S322" s="2" t="s">
        <v>384</v>
      </c>
      <c r="T322" s="3" t="s">
        <v>2181</v>
      </c>
      <c r="U322" s="3"/>
      <c r="V322" s="3" t="s">
        <v>2182</v>
      </c>
      <c r="W322" s="3" t="s">
        <v>2183</v>
      </c>
      <c r="X322" s="2" t="n">
        <v>17</v>
      </c>
      <c r="Y322" s="2" t="n">
        <v>4</v>
      </c>
      <c r="Z322" s="2" t="s">
        <v>47</v>
      </c>
      <c r="AA322" s="3"/>
      <c r="AB322" s="5"/>
      <c r="AC322" s="5"/>
      <c r="AD322" s="3" t="s">
        <v>2184</v>
      </c>
      <c r="AE322" s="3" t="s">
        <v>2185</v>
      </c>
    </row>
    <row r="323" customFormat="false" ht="60" hidden="false" customHeight="true" outlineLevel="0" collapsed="false">
      <c r="A323" s="2" t="s">
        <v>2186</v>
      </c>
      <c r="B323" s="2" t="n">
        <v>2024</v>
      </c>
      <c r="C323" s="2" t="s">
        <v>389</v>
      </c>
      <c r="D323" s="2" t="s">
        <v>161</v>
      </c>
      <c r="E323" s="2" t="s">
        <v>1230</v>
      </c>
      <c r="F323" s="2" t="n">
        <v>5</v>
      </c>
      <c r="G323" s="2" t="s">
        <v>52</v>
      </c>
      <c r="H323" s="2" t="s">
        <v>1231</v>
      </c>
      <c r="I323" s="2" t="n">
        <v>12</v>
      </c>
      <c r="J323" s="2" t="n">
        <v>4</v>
      </c>
      <c r="K323" s="2" t="s">
        <v>813</v>
      </c>
      <c r="L323" s="2"/>
      <c r="M323" s="2"/>
      <c r="N323" s="2"/>
      <c r="O323" s="3" t="s">
        <v>527</v>
      </c>
      <c r="P323" s="2" t="s">
        <v>164</v>
      </c>
      <c r="Q323" s="2" t="s">
        <v>165</v>
      </c>
      <c r="R323" s="2" t="s">
        <v>166</v>
      </c>
      <c r="S323" s="2" t="s">
        <v>1770</v>
      </c>
      <c r="T323" s="3" t="s">
        <v>2187</v>
      </c>
      <c r="U323" s="3"/>
      <c r="V323" s="3" t="s">
        <v>2188</v>
      </c>
      <c r="W323" s="3" t="s">
        <v>2189</v>
      </c>
      <c r="X323" s="2" t="n">
        <v>18</v>
      </c>
      <c r="Y323" s="2" t="n">
        <v>4</v>
      </c>
      <c r="Z323" s="2" t="s">
        <v>47</v>
      </c>
      <c r="AA323" s="3"/>
      <c r="AB323" s="5"/>
      <c r="AC323" s="5"/>
      <c r="AD323" s="3" t="s">
        <v>2190</v>
      </c>
      <c r="AE323" s="3" t="s">
        <v>2191</v>
      </c>
    </row>
    <row r="324" customFormat="false" ht="60" hidden="false" customHeight="true" outlineLevel="0" collapsed="false">
      <c r="A324" s="2" t="s">
        <v>2192</v>
      </c>
      <c r="B324" s="2" t="n">
        <v>2024</v>
      </c>
      <c r="C324" s="2" t="s">
        <v>389</v>
      </c>
      <c r="D324" s="2" t="s">
        <v>33</v>
      </c>
      <c r="E324" s="2" t="s">
        <v>34</v>
      </c>
      <c r="F324" s="2" t="n">
        <v>1</v>
      </c>
      <c r="G324" s="2" t="s">
        <v>35</v>
      </c>
      <c r="H324" s="2"/>
      <c r="I324" s="2" t="n">
        <v>2</v>
      </c>
      <c r="J324" s="2" t="n">
        <v>0</v>
      </c>
      <c r="K324" s="2" t="s">
        <v>53</v>
      </c>
      <c r="L324" s="2"/>
      <c r="M324" s="2"/>
      <c r="N324" s="2"/>
      <c r="O324" s="3"/>
      <c r="P324" s="2" t="s">
        <v>164</v>
      </c>
      <c r="Q324" s="2" t="s">
        <v>165</v>
      </c>
      <c r="R324" s="2" t="s">
        <v>166</v>
      </c>
      <c r="S324" s="2" t="s">
        <v>2193</v>
      </c>
      <c r="T324" s="3" t="s">
        <v>2194</v>
      </c>
      <c r="U324" s="3" t="s">
        <v>2195</v>
      </c>
      <c r="V324" s="3" t="s">
        <v>2196</v>
      </c>
      <c r="W324" s="3" t="s">
        <v>2197</v>
      </c>
      <c r="X324" s="2" t="n">
        <v>8</v>
      </c>
      <c r="Y324" s="2" t="n">
        <v>3</v>
      </c>
      <c r="Z324" s="2" t="s">
        <v>47</v>
      </c>
      <c r="AA324" s="3"/>
      <c r="AB324" s="5"/>
      <c r="AC324" s="5"/>
      <c r="AD324" s="3"/>
      <c r="AE324" s="3" t="s">
        <v>2198</v>
      </c>
    </row>
    <row r="325" customFormat="false" ht="60" hidden="false" customHeight="true" outlineLevel="0" collapsed="false">
      <c r="A325" s="2" t="s">
        <v>2199</v>
      </c>
      <c r="B325" s="2" t="n">
        <v>2024</v>
      </c>
      <c r="C325" s="2" t="s">
        <v>389</v>
      </c>
      <c r="D325" s="2" t="s">
        <v>33</v>
      </c>
      <c r="E325" s="2" t="s">
        <v>34</v>
      </c>
      <c r="F325" s="2" t="n">
        <v>1</v>
      </c>
      <c r="G325" s="2" t="s">
        <v>52</v>
      </c>
      <c r="H325" s="2"/>
      <c r="I325" s="2" t="n">
        <v>4</v>
      </c>
      <c r="J325" s="2" t="n">
        <v>1</v>
      </c>
      <c r="K325" s="2" t="s">
        <v>86</v>
      </c>
      <c r="L325" s="2"/>
      <c r="M325" s="2"/>
      <c r="N325" s="2"/>
      <c r="O325" s="3"/>
      <c r="P325" s="2" t="s">
        <v>466</v>
      </c>
      <c r="Q325" s="2" t="s">
        <v>467</v>
      </c>
      <c r="R325" s="2" t="s">
        <v>1006</v>
      </c>
      <c r="S325" s="2" t="s">
        <v>1007</v>
      </c>
      <c r="T325" s="3" t="s">
        <v>2200</v>
      </c>
      <c r="U325" s="3" t="s">
        <v>2195</v>
      </c>
      <c r="V325" s="3" t="s">
        <v>2201</v>
      </c>
      <c r="W325" s="3" t="s">
        <v>2202</v>
      </c>
      <c r="X325" s="2" t="n">
        <v>9</v>
      </c>
      <c r="Y325" s="2" t="n">
        <v>3</v>
      </c>
      <c r="Z325" s="2" t="s">
        <v>47</v>
      </c>
      <c r="AA325" s="3"/>
      <c r="AB325" s="5"/>
      <c r="AC325" s="5"/>
      <c r="AD325" s="3"/>
      <c r="AE325" s="3" t="s">
        <v>2203</v>
      </c>
    </row>
    <row r="326" customFormat="false" ht="60" hidden="false" customHeight="true" outlineLevel="0" collapsed="false">
      <c r="A326" s="2" t="s">
        <v>2204</v>
      </c>
      <c r="B326" s="2" t="n">
        <v>2024</v>
      </c>
      <c r="C326" s="2" t="s">
        <v>389</v>
      </c>
      <c r="D326" s="2" t="s">
        <v>33</v>
      </c>
      <c r="E326" s="2" t="s">
        <v>34</v>
      </c>
      <c r="F326" s="2" t="n">
        <v>1</v>
      </c>
      <c r="G326" s="2" t="s">
        <v>63</v>
      </c>
      <c r="H326" s="2"/>
      <c r="I326" s="2" t="n">
        <v>2</v>
      </c>
      <c r="J326" s="2" t="n">
        <v>0</v>
      </c>
      <c r="K326" s="2" t="s">
        <v>64</v>
      </c>
      <c r="L326" s="2"/>
      <c r="M326" s="2"/>
      <c r="N326" s="2"/>
      <c r="O326" s="3"/>
      <c r="P326" s="2" t="s">
        <v>1214</v>
      </c>
      <c r="Q326" s="2" t="s">
        <v>1215</v>
      </c>
      <c r="R326" s="2" t="s">
        <v>1216</v>
      </c>
      <c r="S326" s="2" t="s">
        <v>2205</v>
      </c>
      <c r="T326" s="3" t="s">
        <v>2206</v>
      </c>
      <c r="U326" s="3" t="s">
        <v>2195</v>
      </c>
      <c r="V326" s="3" t="s">
        <v>2207</v>
      </c>
      <c r="W326" s="3" t="s">
        <v>2208</v>
      </c>
      <c r="X326" s="2" t="n">
        <v>9</v>
      </c>
      <c r="Y326" s="2" t="n">
        <v>3</v>
      </c>
      <c r="Z326" s="2" t="s">
        <v>47</v>
      </c>
      <c r="AA326" s="3"/>
      <c r="AB326" s="5"/>
      <c r="AC326" s="5"/>
      <c r="AD326" s="3"/>
      <c r="AE326" s="3" t="s">
        <v>2209</v>
      </c>
    </row>
    <row r="327" customFormat="false" ht="60" hidden="false" customHeight="true" outlineLevel="0" collapsed="false">
      <c r="A327" s="2" t="s">
        <v>2210</v>
      </c>
      <c r="B327" s="2" t="n">
        <v>2024</v>
      </c>
      <c r="C327" s="2" t="s">
        <v>389</v>
      </c>
      <c r="D327" s="2" t="s">
        <v>33</v>
      </c>
      <c r="E327" s="2" t="s">
        <v>34</v>
      </c>
      <c r="F327" s="2" t="n">
        <v>1</v>
      </c>
      <c r="G327" s="2" t="s">
        <v>72</v>
      </c>
      <c r="H327" s="2"/>
      <c r="I327" s="2" t="n">
        <v>6</v>
      </c>
      <c r="J327" s="2" t="n">
        <v>2</v>
      </c>
      <c r="K327" s="2" t="s">
        <v>813</v>
      </c>
      <c r="L327" s="2"/>
      <c r="M327" s="2"/>
      <c r="N327" s="2"/>
      <c r="O327" s="3" t="s">
        <v>232</v>
      </c>
      <c r="P327" s="2" t="s">
        <v>1214</v>
      </c>
      <c r="Q327" s="2" t="s">
        <v>1215</v>
      </c>
      <c r="R327" s="2" t="s">
        <v>2211</v>
      </c>
      <c r="S327" s="2" t="s">
        <v>2212</v>
      </c>
      <c r="T327" s="3" t="s">
        <v>2213</v>
      </c>
      <c r="U327" s="3" t="s">
        <v>2195</v>
      </c>
      <c r="V327" s="3" t="s">
        <v>2214</v>
      </c>
      <c r="W327" s="3" t="s">
        <v>2215</v>
      </c>
      <c r="X327" s="2" t="n">
        <v>10</v>
      </c>
      <c r="Y327" s="2" t="n">
        <v>3</v>
      </c>
      <c r="Z327" s="2" t="s">
        <v>47</v>
      </c>
      <c r="AA327" s="3"/>
      <c r="AB327" s="5"/>
      <c r="AC327" s="5"/>
      <c r="AD327" s="3"/>
      <c r="AE327" s="3" t="s">
        <v>2216</v>
      </c>
    </row>
    <row r="328" customFormat="false" ht="60" hidden="false" customHeight="true" outlineLevel="0" collapsed="false">
      <c r="A328" s="2" t="s">
        <v>2217</v>
      </c>
      <c r="B328" s="2" t="n">
        <v>2024</v>
      </c>
      <c r="C328" s="2" t="s">
        <v>389</v>
      </c>
      <c r="D328" s="2" t="s">
        <v>33</v>
      </c>
      <c r="E328" s="2" t="s">
        <v>34</v>
      </c>
      <c r="F328" s="2" t="n">
        <v>1</v>
      </c>
      <c r="G328" s="2" t="s">
        <v>84</v>
      </c>
      <c r="H328" s="2"/>
      <c r="I328" s="2" t="n">
        <v>6</v>
      </c>
      <c r="J328" s="2" t="n">
        <v>2</v>
      </c>
      <c r="K328" s="2" t="s">
        <v>813</v>
      </c>
      <c r="L328" s="2"/>
      <c r="M328" s="2"/>
      <c r="N328" s="2"/>
      <c r="O328" s="3"/>
      <c r="P328" s="2" t="s">
        <v>594</v>
      </c>
      <c r="Q328" s="2" t="s">
        <v>595</v>
      </c>
      <c r="R328" s="2" t="s">
        <v>2218</v>
      </c>
      <c r="S328" s="2" t="s">
        <v>2219</v>
      </c>
      <c r="T328" s="3" t="s">
        <v>2220</v>
      </c>
      <c r="U328" s="3" t="s">
        <v>2195</v>
      </c>
      <c r="V328" s="3" t="s">
        <v>2221</v>
      </c>
      <c r="W328" s="3" t="s">
        <v>2222</v>
      </c>
      <c r="X328" s="2" t="n">
        <v>11</v>
      </c>
      <c r="Y328" s="2" t="n">
        <v>3</v>
      </c>
      <c r="Z328" s="2" t="s">
        <v>47</v>
      </c>
      <c r="AA328" s="3"/>
      <c r="AB328" s="5"/>
      <c r="AC328" s="5"/>
      <c r="AD328" s="3" t="s">
        <v>2223</v>
      </c>
      <c r="AE328" s="3" t="s">
        <v>2224</v>
      </c>
    </row>
    <row r="329" customFormat="false" ht="60" hidden="false" customHeight="true" outlineLevel="0" collapsed="false">
      <c r="A329" s="2" t="s">
        <v>2225</v>
      </c>
      <c r="B329" s="2" t="n">
        <v>2024</v>
      </c>
      <c r="C329" s="2" t="s">
        <v>389</v>
      </c>
      <c r="D329" s="2" t="s">
        <v>33</v>
      </c>
      <c r="E329" s="2" t="s">
        <v>104</v>
      </c>
      <c r="F329" s="2" t="n">
        <v>2</v>
      </c>
      <c r="G329" s="2" t="s">
        <v>35</v>
      </c>
      <c r="H329" s="2" t="s">
        <v>1199</v>
      </c>
      <c r="I329" s="2" t="n">
        <v>8</v>
      </c>
      <c r="J329" s="2" t="n">
        <v>2</v>
      </c>
      <c r="K329" s="2" t="s">
        <v>64</v>
      </c>
      <c r="L329" s="2" t="s">
        <v>86</v>
      </c>
      <c r="M329" s="2" t="s">
        <v>37</v>
      </c>
      <c r="N329" s="2"/>
      <c r="O329" s="3" t="s">
        <v>73</v>
      </c>
      <c r="P329" s="2" t="s">
        <v>185</v>
      </c>
      <c r="Q329" s="2" t="s">
        <v>186</v>
      </c>
      <c r="R329" s="2" t="s">
        <v>1021</v>
      </c>
      <c r="S329" s="2" t="s">
        <v>2226</v>
      </c>
      <c r="T329" s="3" t="s">
        <v>2227</v>
      </c>
      <c r="U329" s="3"/>
      <c r="V329" s="3" t="s">
        <v>2228</v>
      </c>
      <c r="W329" s="3" t="s">
        <v>2229</v>
      </c>
      <c r="X329" s="2" t="n">
        <v>12</v>
      </c>
      <c r="Y329" s="2" t="n">
        <v>4</v>
      </c>
      <c r="Z329" s="2" t="s">
        <v>47</v>
      </c>
      <c r="AA329" s="3"/>
      <c r="AB329" s="5"/>
      <c r="AC329" s="5"/>
      <c r="AD329" s="3"/>
      <c r="AE329" s="3" t="s">
        <v>2230</v>
      </c>
    </row>
    <row r="330" customFormat="false" ht="60" hidden="false" customHeight="true" outlineLevel="0" collapsed="false">
      <c r="A330" s="2" t="s">
        <v>2231</v>
      </c>
      <c r="B330" s="2" t="n">
        <v>2024</v>
      </c>
      <c r="C330" s="2" t="s">
        <v>389</v>
      </c>
      <c r="D330" s="2" t="s">
        <v>33</v>
      </c>
      <c r="E330" s="2" t="s">
        <v>104</v>
      </c>
      <c r="F330" s="2" t="n">
        <v>2</v>
      </c>
      <c r="G330" s="2" t="s">
        <v>52</v>
      </c>
      <c r="H330" s="2" t="s">
        <v>1199</v>
      </c>
      <c r="I330" s="2" t="n">
        <v>12</v>
      </c>
      <c r="J330" s="2" t="n">
        <v>4</v>
      </c>
      <c r="K330" s="2" t="s">
        <v>813</v>
      </c>
      <c r="L330" s="2"/>
      <c r="M330" s="2"/>
      <c r="N330" s="2"/>
      <c r="O330" s="3" t="s">
        <v>308</v>
      </c>
      <c r="P330" s="2" t="s">
        <v>124</v>
      </c>
      <c r="Q330" s="2" t="s">
        <v>125</v>
      </c>
      <c r="R330" s="2" t="s">
        <v>570</v>
      </c>
      <c r="S330" s="2" t="s">
        <v>2232</v>
      </c>
      <c r="T330" s="3" t="s">
        <v>2233</v>
      </c>
      <c r="U330" s="3"/>
      <c r="V330" s="3" t="s">
        <v>2234</v>
      </c>
      <c r="W330" s="3" t="s">
        <v>2235</v>
      </c>
      <c r="X330" s="2" t="n">
        <v>14</v>
      </c>
      <c r="Y330" s="2" t="n">
        <v>4</v>
      </c>
      <c r="Z330" s="2" t="s">
        <v>47</v>
      </c>
      <c r="AA330" s="3"/>
      <c r="AB330" s="5"/>
      <c r="AC330" s="5"/>
      <c r="AD330" s="3" t="s">
        <v>2236</v>
      </c>
      <c r="AE330" s="3" t="s">
        <v>2237</v>
      </c>
    </row>
    <row r="331" customFormat="false" ht="60" hidden="false" customHeight="true" outlineLevel="0" collapsed="false">
      <c r="A331" s="2" t="s">
        <v>2238</v>
      </c>
      <c r="B331" s="2" t="n">
        <v>2024</v>
      </c>
      <c r="C331" s="2" t="s">
        <v>389</v>
      </c>
      <c r="D331" s="2" t="s">
        <v>33</v>
      </c>
      <c r="E331" s="2" t="s">
        <v>104</v>
      </c>
      <c r="F331" s="2" t="n">
        <v>3</v>
      </c>
      <c r="G331" s="2" t="s">
        <v>35</v>
      </c>
      <c r="H331" s="2" t="s">
        <v>1199</v>
      </c>
      <c r="I331" s="2" t="n">
        <v>8</v>
      </c>
      <c r="J331" s="2" t="n">
        <v>2</v>
      </c>
      <c r="K331" s="2" t="s">
        <v>64</v>
      </c>
      <c r="L331" s="2" t="s">
        <v>86</v>
      </c>
      <c r="M331" s="2" t="s">
        <v>37</v>
      </c>
      <c r="N331" s="2"/>
      <c r="O331" s="3" t="s">
        <v>73</v>
      </c>
      <c r="P331" s="2" t="s">
        <v>106</v>
      </c>
      <c r="Q331" s="2" t="s">
        <v>107</v>
      </c>
      <c r="R331" s="2" t="s">
        <v>2239</v>
      </c>
      <c r="S331" s="2" t="s">
        <v>2240</v>
      </c>
      <c r="T331" s="3" t="s">
        <v>2241</v>
      </c>
      <c r="U331" s="3"/>
      <c r="V331" s="3" t="s">
        <v>2242</v>
      </c>
      <c r="W331" s="3" t="s">
        <v>2243</v>
      </c>
      <c r="X331" s="2" t="n">
        <v>16</v>
      </c>
      <c r="Y331" s="2" t="n">
        <v>4</v>
      </c>
      <c r="Z331" s="2" t="s">
        <v>47</v>
      </c>
      <c r="AA331" s="3"/>
      <c r="AB331" s="5"/>
      <c r="AC331" s="5"/>
      <c r="AD331" s="3"/>
      <c r="AE331" s="3" t="s">
        <v>2244</v>
      </c>
    </row>
    <row r="332" customFormat="false" ht="60" hidden="false" customHeight="true" outlineLevel="0" collapsed="false">
      <c r="A332" s="2" t="s">
        <v>2245</v>
      </c>
      <c r="B332" s="2" t="n">
        <v>2024</v>
      </c>
      <c r="C332" s="2" t="s">
        <v>389</v>
      </c>
      <c r="D332" s="2" t="s">
        <v>33</v>
      </c>
      <c r="E332" s="2" t="s">
        <v>104</v>
      </c>
      <c r="F332" s="2" t="n">
        <v>3</v>
      </c>
      <c r="G332" s="2" t="s">
        <v>52</v>
      </c>
      <c r="H332" s="2" t="s">
        <v>1199</v>
      </c>
      <c r="I332" s="2" t="n">
        <v>12</v>
      </c>
      <c r="J332" s="2" t="n">
        <v>4</v>
      </c>
      <c r="K332" s="2" t="s">
        <v>813</v>
      </c>
      <c r="L332" s="2"/>
      <c r="M332" s="2"/>
      <c r="N332" s="2"/>
      <c r="O332" s="3" t="s">
        <v>527</v>
      </c>
      <c r="P332" s="2" t="s">
        <v>433</v>
      </c>
      <c r="Q332" s="2" t="s">
        <v>434</v>
      </c>
      <c r="R332" s="2" t="s">
        <v>2246</v>
      </c>
      <c r="S332" s="2" t="s">
        <v>2247</v>
      </c>
      <c r="T332" s="3" t="s">
        <v>2248</v>
      </c>
      <c r="U332" s="3"/>
      <c r="V332" s="3" t="s">
        <v>2249</v>
      </c>
      <c r="W332" s="3" t="s">
        <v>2250</v>
      </c>
      <c r="X332" s="2" t="n">
        <v>17</v>
      </c>
      <c r="Y332" s="2" t="n">
        <v>4</v>
      </c>
      <c r="Z332" s="2" t="s">
        <v>47</v>
      </c>
      <c r="AA332" s="3"/>
      <c r="AB332" s="5"/>
      <c r="AC332" s="5"/>
      <c r="AD332" s="3"/>
      <c r="AE332" s="3" t="s">
        <v>2251</v>
      </c>
    </row>
    <row r="333" customFormat="false" ht="60" hidden="false" customHeight="true" outlineLevel="0" collapsed="false">
      <c r="A333" s="2" t="s">
        <v>2252</v>
      </c>
      <c r="B333" s="2" t="n">
        <v>2024</v>
      </c>
      <c r="C333" s="2" t="s">
        <v>389</v>
      </c>
      <c r="D333" s="2" t="s">
        <v>33</v>
      </c>
      <c r="E333" s="2" t="s">
        <v>1230</v>
      </c>
      <c r="F333" s="2" t="n">
        <v>4</v>
      </c>
      <c r="G333" s="2" t="s">
        <v>35</v>
      </c>
      <c r="H333" s="2" t="s">
        <v>1231</v>
      </c>
      <c r="I333" s="2" t="n">
        <v>8</v>
      </c>
      <c r="J333" s="2" t="n">
        <v>2</v>
      </c>
      <c r="K333" s="2" t="s">
        <v>64</v>
      </c>
      <c r="L333" s="2" t="s">
        <v>86</v>
      </c>
      <c r="M333" s="2"/>
      <c r="N333" s="2"/>
      <c r="O333" s="3" t="s">
        <v>232</v>
      </c>
      <c r="P333" s="2" t="s">
        <v>1266</v>
      </c>
      <c r="Q333" s="2" t="s">
        <v>1267</v>
      </c>
      <c r="R333" s="2" t="s">
        <v>1268</v>
      </c>
      <c r="S333" s="2" t="s">
        <v>1269</v>
      </c>
      <c r="T333" s="3" t="s">
        <v>2253</v>
      </c>
      <c r="U333" s="3"/>
      <c r="V333" s="3" t="s">
        <v>2254</v>
      </c>
      <c r="W333" s="3" t="s">
        <v>2255</v>
      </c>
      <c r="X333" s="2" t="n">
        <v>18</v>
      </c>
      <c r="Y333" s="2" t="n">
        <v>4</v>
      </c>
      <c r="Z333" s="2" t="s">
        <v>47</v>
      </c>
      <c r="AA333" s="3"/>
      <c r="AB333" s="5"/>
      <c r="AC333" s="5"/>
      <c r="AD333" s="3" t="s">
        <v>2256</v>
      </c>
      <c r="AE333" s="3" t="s">
        <v>2257</v>
      </c>
    </row>
    <row r="334" customFormat="false" ht="60" hidden="false" customHeight="true" outlineLevel="0" collapsed="false">
      <c r="A334" s="2" t="s">
        <v>2258</v>
      </c>
      <c r="B334" s="2" t="n">
        <v>2024</v>
      </c>
      <c r="C334" s="2" t="s">
        <v>389</v>
      </c>
      <c r="D334" s="2" t="s">
        <v>33</v>
      </c>
      <c r="E334" s="2" t="s">
        <v>1230</v>
      </c>
      <c r="F334" s="2" t="n">
        <v>4</v>
      </c>
      <c r="G334" s="2" t="s">
        <v>52</v>
      </c>
      <c r="H334" s="2" t="s">
        <v>1231</v>
      </c>
      <c r="I334" s="2" t="n">
        <v>12</v>
      </c>
      <c r="J334" s="2" t="n">
        <v>4</v>
      </c>
      <c r="K334" s="2" t="s">
        <v>813</v>
      </c>
      <c r="L334" s="2"/>
      <c r="M334" s="2"/>
      <c r="N334" s="2"/>
      <c r="O334" s="3"/>
      <c r="P334" s="2" t="s">
        <v>115</v>
      </c>
      <c r="Q334" s="2" t="s">
        <v>116</v>
      </c>
      <c r="R334" s="2" t="s">
        <v>2259</v>
      </c>
      <c r="S334" s="2" t="s">
        <v>2260</v>
      </c>
      <c r="T334" s="3" t="s">
        <v>2261</v>
      </c>
      <c r="U334" s="3"/>
      <c r="V334" s="3" t="s">
        <v>2262</v>
      </c>
      <c r="W334" s="3" t="s">
        <v>2263</v>
      </c>
      <c r="X334" s="2" t="n">
        <v>19</v>
      </c>
      <c r="Y334" s="2" t="n">
        <v>4</v>
      </c>
      <c r="Z334" s="2" t="s">
        <v>47</v>
      </c>
      <c r="AA334" s="3"/>
      <c r="AB334" s="5"/>
      <c r="AC334" s="5"/>
      <c r="AD334" s="3" t="s">
        <v>2264</v>
      </c>
      <c r="AE334" s="3" t="s">
        <v>2265</v>
      </c>
    </row>
    <row r="335" customFormat="false" ht="60" hidden="false" customHeight="true" outlineLevel="0" collapsed="false">
      <c r="A335" s="2" t="s">
        <v>2266</v>
      </c>
      <c r="B335" s="2" t="n">
        <v>2024</v>
      </c>
      <c r="C335" s="2" t="s">
        <v>389</v>
      </c>
      <c r="D335" s="2" t="s">
        <v>33</v>
      </c>
      <c r="E335" s="2" t="s">
        <v>1230</v>
      </c>
      <c r="F335" s="2" t="n">
        <v>5</v>
      </c>
      <c r="G335" s="2" t="s">
        <v>35</v>
      </c>
      <c r="H335" s="2" t="s">
        <v>1231</v>
      </c>
      <c r="I335" s="2" t="n">
        <v>8</v>
      </c>
      <c r="J335" s="2" t="n">
        <v>2</v>
      </c>
      <c r="K335" s="2" t="s">
        <v>64</v>
      </c>
      <c r="L335" s="2" t="s">
        <v>86</v>
      </c>
      <c r="M335" s="2"/>
      <c r="N335" s="2"/>
      <c r="O335" s="3"/>
      <c r="P335" s="2" t="s">
        <v>54</v>
      </c>
      <c r="Q335" s="2" t="s">
        <v>55</v>
      </c>
      <c r="R335" s="2" t="s">
        <v>56</v>
      </c>
      <c r="S335" s="2" t="s">
        <v>1384</v>
      </c>
      <c r="T335" s="3" t="s">
        <v>2267</v>
      </c>
      <c r="U335" s="3"/>
      <c r="V335" s="3" t="s">
        <v>2268</v>
      </c>
      <c r="W335" s="3" t="s">
        <v>2269</v>
      </c>
      <c r="X335" s="2" t="n">
        <v>20</v>
      </c>
      <c r="Y335" s="2" t="n">
        <v>4</v>
      </c>
      <c r="Z335" s="2" t="s">
        <v>47</v>
      </c>
      <c r="AA335" s="3"/>
      <c r="AB335" s="5"/>
      <c r="AC335" s="5"/>
      <c r="AD335" s="3"/>
      <c r="AE335" s="3" t="s">
        <v>2270</v>
      </c>
    </row>
    <row r="336" customFormat="false" ht="60" hidden="false" customHeight="true" outlineLevel="0" collapsed="false">
      <c r="A336" s="2" t="s">
        <v>2271</v>
      </c>
      <c r="B336" s="2" t="n">
        <v>2024</v>
      </c>
      <c r="C336" s="2" t="s">
        <v>389</v>
      </c>
      <c r="D336" s="2" t="s">
        <v>33</v>
      </c>
      <c r="E336" s="2" t="s">
        <v>1230</v>
      </c>
      <c r="F336" s="2" t="n">
        <v>5</v>
      </c>
      <c r="G336" s="2" t="s">
        <v>52</v>
      </c>
      <c r="H336" s="2" t="s">
        <v>1231</v>
      </c>
      <c r="I336" s="2" t="n">
        <v>12</v>
      </c>
      <c r="J336" s="2" t="n">
        <v>4</v>
      </c>
      <c r="K336" s="2" t="s">
        <v>813</v>
      </c>
      <c r="L336" s="2"/>
      <c r="M336" s="2"/>
      <c r="N336" s="2"/>
      <c r="O336" s="3" t="s">
        <v>527</v>
      </c>
      <c r="P336" s="2" t="s">
        <v>54</v>
      </c>
      <c r="Q336" s="2" t="s">
        <v>55</v>
      </c>
      <c r="R336" s="2" t="s">
        <v>2272</v>
      </c>
      <c r="S336" s="2" t="s">
        <v>2273</v>
      </c>
      <c r="T336" s="3" t="s">
        <v>2274</v>
      </c>
      <c r="U336" s="3"/>
      <c r="V336" s="3" t="s">
        <v>2275</v>
      </c>
      <c r="W336" s="3" t="s">
        <v>2276</v>
      </c>
      <c r="X336" s="2" t="n">
        <v>21</v>
      </c>
      <c r="Y336" s="2" t="n">
        <v>4</v>
      </c>
      <c r="Z336" s="2" t="s">
        <v>47</v>
      </c>
      <c r="AA336" s="3"/>
      <c r="AB336" s="5"/>
      <c r="AC336" s="5"/>
      <c r="AD336" s="3"/>
      <c r="AE336" s="3" t="s">
        <v>2277</v>
      </c>
    </row>
    <row r="337" customFormat="false" ht="60" hidden="false" customHeight="true" outlineLevel="0" collapsed="false">
      <c r="A337" s="2" t="s">
        <v>2278</v>
      </c>
      <c r="B337" s="2" t="n">
        <v>2024</v>
      </c>
      <c r="C337" s="2" t="s">
        <v>389</v>
      </c>
      <c r="D337" s="2" t="s">
        <v>316</v>
      </c>
      <c r="E337" s="2" t="s">
        <v>34</v>
      </c>
      <c r="F337" s="2" t="n">
        <v>1</v>
      </c>
      <c r="G337" s="2" t="s">
        <v>35</v>
      </c>
      <c r="H337" s="2"/>
      <c r="I337" s="2" t="n">
        <v>2</v>
      </c>
      <c r="J337" s="2" t="n">
        <v>0</v>
      </c>
      <c r="K337" s="2" t="s">
        <v>1361</v>
      </c>
      <c r="L337" s="2"/>
      <c r="M337" s="2" t="s">
        <v>37</v>
      </c>
      <c r="N337" s="2"/>
      <c r="O337" s="3" t="s">
        <v>73</v>
      </c>
      <c r="P337" s="2" t="s">
        <v>142</v>
      </c>
      <c r="Q337" s="2" t="s">
        <v>143</v>
      </c>
      <c r="R337" s="2" t="s">
        <v>144</v>
      </c>
      <c r="S337" s="2" t="s">
        <v>1028</v>
      </c>
      <c r="T337" s="3" t="s">
        <v>2279</v>
      </c>
      <c r="U337" s="3" t="s">
        <v>2280</v>
      </c>
      <c r="V337" s="3" t="s">
        <v>2281</v>
      </c>
      <c r="W337" s="3" t="s">
        <v>2282</v>
      </c>
      <c r="X337" s="2" t="n">
        <v>8</v>
      </c>
      <c r="Y337" s="2" t="n">
        <v>3</v>
      </c>
      <c r="Z337" s="2" t="s">
        <v>47</v>
      </c>
      <c r="AA337" s="3"/>
      <c r="AB337" s="5"/>
      <c r="AC337" s="5"/>
      <c r="AD337" s="3"/>
      <c r="AE337" s="3" t="s">
        <v>2283</v>
      </c>
    </row>
    <row r="338" customFormat="false" ht="60" hidden="false" customHeight="true" outlineLevel="0" collapsed="false">
      <c r="A338" s="2" t="s">
        <v>2284</v>
      </c>
      <c r="B338" s="2" t="n">
        <v>2024</v>
      </c>
      <c r="C338" s="2" t="s">
        <v>389</v>
      </c>
      <c r="D338" s="2" t="s">
        <v>316</v>
      </c>
      <c r="E338" s="2" t="s">
        <v>34</v>
      </c>
      <c r="F338" s="2" t="n">
        <v>1</v>
      </c>
      <c r="G338" s="2" t="s">
        <v>52</v>
      </c>
      <c r="H338" s="2"/>
      <c r="I338" s="2" t="n">
        <v>2</v>
      </c>
      <c r="J338" s="2" t="n">
        <v>0</v>
      </c>
      <c r="K338" s="2" t="s">
        <v>1703</v>
      </c>
      <c r="L338" s="2"/>
      <c r="M338" s="2"/>
      <c r="N338" s="2"/>
      <c r="O338" s="3"/>
      <c r="P338" s="2" t="s">
        <v>694</v>
      </c>
      <c r="Q338" s="2" t="s">
        <v>695</v>
      </c>
      <c r="R338" s="2" t="s">
        <v>696</v>
      </c>
      <c r="S338" s="2" t="s">
        <v>886</v>
      </c>
      <c r="T338" s="3" t="s">
        <v>2285</v>
      </c>
      <c r="U338" s="3" t="s">
        <v>2280</v>
      </c>
      <c r="V338" s="3" t="s">
        <v>2286</v>
      </c>
      <c r="W338" s="3" t="s">
        <v>2287</v>
      </c>
      <c r="X338" s="2" t="n">
        <v>8</v>
      </c>
      <c r="Y338" s="2" t="n">
        <v>3</v>
      </c>
      <c r="Z338" s="2" t="s">
        <v>47</v>
      </c>
      <c r="AA338" s="3"/>
      <c r="AB338" s="5"/>
      <c r="AC338" s="5"/>
      <c r="AD338" s="3" t="s">
        <v>2288</v>
      </c>
      <c r="AE338" s="3" t="s">
        <v>2289</v>
      </c>
    </row>
    <row r="339" customFormat="false" ht="60" hidden="false" customHeight="true" outlineLevel="0" collapsed="false">
      <c r="A339" s="2" t="s">
        <v>2290</v>
      </c>
      <c r="B339" s="2" t="n">
        <v>2024</v>
      </c>
      <c r="C339" s="2" t="s">
        <v>389</v>
      </c>
      <c r="D339" s="2" t="s">
        <v>316</v>
      </c>
      <c r="E339" s="2" t="s">
        <v>34</v>
      </c>
      <c r="F339" s="2" t="n">
        <v>1</v>
      </c>
      <c r="G339" s="2" t="s">
        <v>63</v>
      </c>
      <c r="H339" s="2"/>
      <c r="I339" s="2" t="n">
        <v>4</v>
      </c>
      <c r="J339" s="2" t="n">
        <v>1</v>
      </c>
      <c r="K339" s="2" t="s">
        <v>86</v>
      </c>
      <c r="L339" s="2"/>
      <c r="M339" s="2"/>
      <c r="N339" s="2"/>
      <c r="O339" s="3"/>
      <c r="P339" s="2" t="s">
        <v>151</v>
      </c>
      <c r="Q339" s="2" t="s">
        <v>152</v>
      </c>
      <c r="R339" s="2" t="s">
        <v>950</v>
      </c>
      <c r="S339" s="2" t="s">
        <v>1323</v>
      </c>
      <c r="T339" s="3" t="s">
        <v>2291</v>
      </c>
      <c r="U339" s="3" t="s">
        <v>2280</v>
      </c>
      <c r="V339" s="3" t="s">
        <v>2292</v>
      </c>
      <c r="W339" s="3" t="s">
        <v>2293</v>
      </c>
      <c r="X339" s="2" t="n">
        <v>8</v>
      </c>
      <c r="Y339" s="2" t="n">
        <v>3</v>
      </c>
      <c r="Z339" s="2" t="s">
        <v>47</v>
      </c>
      <c r="AA339" s="3"/>
      <c r="AB339" s="5"/>
      <c r="AC339" s="5"/>
      <c r="AD339" s="3" t="s">
        <v>2294</v>
      </c>
      <c r="AE339" s="3" t="s">
        <v>2295</v>
      </c>
    </row>
    <row r="340" customFormat="false" ht="60" hidden="false" customHeight="true" outlineLevel="0" collapsed="false">
      <c r="A340" s="2" t="s">
        <v>2296</v>
      </c>
      <c r="B340" s="2" t="n">
        <v>2024</v>
      </c>
      <c r="C340" s="2" t="s">
        <v>389</v>
      </c>
      <c r="D340" s="2" t="s">
        <v>316</v>
      </c>
      <c r="E340" s="2" t="s">
        <v>34</v>
      </c>
      <c r="F340" s="2" t="n">
        <v>1</v>
      </c>
      <c r="G340" s="2" t="s">
        <v>72</v>
      </c>
      <c r="H340" s="2"/>
      <c r="I340" s="2" t="n">
        <v>6</v>
      </c>
      <c r="J340" s="2" t="n">
        <v>2</v>
      </c>
      <c r="K340" s="2" t="s">
        <v>813</v>
      </c>
      <c r="L340" s="2"/>
      <c r="M340" s="2"/>
      <c r="N340" s="2"/>
      <c r="O340" s="3" t="s">
        <v>232</v>
      </c>
      <c r="P340" s="2" t="s">
        <v>124</v>
      </c>
      <c r="Q340" s="2" t="s">
        <v>125</v>
      </c>
      <c r="R340" s="2" t="s">
        <v>2297</v>
      </c>
      <c r="S340" s="2" t="s">
        <v>2298</v>
      </c>
      <c r="T340" s="3" t="s">
        <v>2299</v>
      </c>
      <c r="U340" s="3" t="s">
        <v>2280</v>
      </c>
      <c r="V340" s="3" t="s">
        <v>2300</v>
      </c>
      <c r="W340" s="3" t="s">
        <v>2301</v>
      </c>
      <c r="X340" s="2" t="n">
        <v>9</v>
      </c>
      <c r="Y340" s="2" t="n">
        <v>3</v>
      </c>
      <c r="Z340" s="2" t="s">
        <v>47</v>
      </c>
      <c r="AA340" s="3"/>
      <c r="AB340" s="5"/>
      <c r="AC340" s="5"/>
      <c r="AD340" s="3"/>
      <c r="AE340" s="3" t="s">
        <v>2302</v>
      </c>
    </row>
    <row r="341" customFormat="false" ht="60" hidden="false" customHeight="true" outlineLevel="0" collapsed="false">
      <c r="A341" s="2" t="s">
        <v>2303</v>
      </c>
      <c r="B341" s="2" t="n">
        <v>2024</v>
      </c>
      <c r="C341" s="2" t="s">
        <v>389</v>
      </c>
      <c r="D341" s="2" t="s">
        <v>316</v>
      </c>
      <c r="E341" s="2" t="s">
        <v>34</v>
      </c>
      <c r="F341" s="2" t="n">
        <v>1</v>
      </c>
      <c r="G341" s="2" t="s">
        <v>84</v>
      </c>
      <c r="H341" s="2"/>
      <c r="I341" s="2" t="n">
        <v>6</v>
      </c>
      <c r="J341" s="2" t="n">
        <v>2</v>
      </c>
      <c r="K341" s="2" t="s">
        <v>813</v>
      </c>
      <c r="L341" s="2"/>
      <c r="M341" s="2"/>
      <c r="N341" s="2"/>
      <c r="O341" s="3"/>
      <c r="P341" s="2" t="s">
        <v>594</v>
      </c>
      <c r="Q341" s="2" t="s">
        <v>595</v>
      </c>
      <c r="R341" s="2" t="s">
        <v>2304</v>
      </c>
      <c r="S341" s="2" t="s">
        <v>2305</v>
      </c>
      <c r="T341" s="3" t="s">
        <v>2306</v>
      </c>
      <c r="U341" s="3" t="s">
        <v>2280</v>
      </c>
      <c r="V341" s="3" t="s">
        <v>2307</v>
      </c>
      <c r="W341" s="3" t="s">
        <v>2308</v>
      </c>
      <c r="X341" s="2" t="n">
        <v>10</v>
      </c>
      <c r="Y341" s="2" t="n">
        <v>3</v>
      </c>
      <c r="Z341" s="2" t="s">
        <v>47</v>
      </c>
      <c r="AA341" s="3"/>
      <c r="AB341" s="5"/>
      <c r="AC341" s="5"/>
      <c r="AD341" s="3" t="s">
        <v>2309</v>
      </c>
      <c r="AE341" s="3" t="s">
        <v>2310</v>
      </c>
    </row>
    <row r="342" customFormat="false" ht="60" hidden="false" customHeight="true" outlineLevel="0" collapsed="false">
      <c r="A342" s="2" t="s">
        <v>2311</v>
      </c>
      <c r="B342" s="2" t="n">
        <v>2024</v>
      </c>
      <c r="C342" s="2" t="s">
        <v>389</v>
      </c>
      <c r="D342" s="2" t="s">
        <v>316</v>
      </c>
      <c r="E342" s="2" t="s">
        <v>104</v>
      </c>
      <c r="F342" s="2" t="n">
        <v>2</v>
      </c>
      <c r="G342" s="2" t="s">
        <v>35</v>
      </c>
      <c r="H342" s="2" t="s">
        <v>1199</v>
      </c>
      <c r="I342" s="2" t="n">
        <v>8</v>
      </c>
      <c r="J342" s="2" t="n">
        <v>2</v>
      </c>
      <c r="K342" s="2" t="s">
        <v>64</v>
      </c>
      <c r="L342" s="2" t="s">
        <v>86</v>
      </c>
      <c r="M342" s="2"/>
      <c r="N342" s="2"/>
      <c r="O342" s="3"/>
      <c r="P342" s="2" t="s">
        <v>209</v>
      </c>
      <c r="Q342" s="2" t="s">
        <v>210</v>
      </c>
      <c r="R342" s="2" t="s">
        <v>340</v>
      </c>
      <c r="S342" s="2" t="s">
        <v>2312</v>
      </c>
      <c r="T342" s="3" t="s">
        <v>2313</v>
      </c>
      <c r="U342" s="3"/>
      <c r="V342" s="3" t="s">
        <v>2314</v>
      </c>
      <c r="W342" s="3" t="s">
        <v>2315</v>
      </c>
      <c r="X342" s="2" t="n">
        <v>11</v>
      </c>
      <c r="Y342" s="2" t="n">
        <v>3</v>
      </c>
      <c r="Z342" s="2" t="s">
        <v>47</v>
      </c>
      <c r="AA342" s="3"/>
      <c r="AB342" s="5"/>
      <c r="AC342" s="5"/>
      <c r="AD342" s="3" t="s">
        <v>2316</v>
      </c>
      <c r="AE342" s="3" t="s">
        <v>2317</v>
      </c>
    </row>
    <row r="343" customFormat="false" ht="60" hidden="false" customHeight="true" outlineLevel="0" collapsed="false">
      <c r="A343" s="2" t="s">
        <v>2318</v>
      </c>
      <c r="B343" s="2" t="n">
        <v>2024</v>
      </c>
      <c r="C343" s="2" t="s">
        <v>389</v>
      </c>
      <c r="D343" s="2" t="s">
        <v>316</v>
      </c>
      <c r="E343" s="2" t="s">
        <v>104</v>
      </c>
      <c r="F343" s="2" t="n">
        <v>2</v>
      </c>
      <c r="G343" s="2" t="s">
        <v>52</v>
      </c>
      <c r="H343" s="2" t="s">
        <v>1199</v>
      </c>
      <c r="I343" s="2" t="n">
        <v>12</v>
      </c>
      <c r="J343" s="2" t="n">
        <v>4</v>
      </c>
      <c r="K343" s="2" t="s">
        <v>813</v>
      </c>
      <c r="L343" s="2"/>
      <c r="M343" s="2"/>
      <c r="N343" s="2"/>
      <c r="O343" s="3"/>
      <c r="P343" s="2" t="s">
        <v>151</v>
      </c>
      <c r="Q343" s="2" t="s">
        <v>152</v>
      </c>
      <c r="R343" s="2" t="s">
        <v>2319</v>
      </c>
      <c r="S343" s="2" t="s">
        <v>2320</v>
      </c>
      <c r="T343" s="3" t="s">
        <v>2321</v>
      </c>
      <c r="U343" s="3"/>
      <c r="V343" s="3" t="s">
        <v>2322</v>
      </c>
      <c r="W343" s="3" t="s">
        <v>2323</v>
      </c>
      <c r="X343" s="2" t="n">
        <v>12</v>
      </c>
      <c r="Y343" s="2" t="n">
        <v>3</v>
      </c>
      <c r="Z343" s="2" t="s">
        <v>47</v>
      </c>
      <c r="AA343" s="3"/>
      <c r="AB343" s="5"/>
      <c r="AC343" s="5"/>
      <c r="AD343" s="3"/>
      <c r="AE343" s="3" t="s">
        <v>2324</v>
      </c>
    </row>
    <row r="344" customFormat="false" ht="60" hidden="false" customHeight="true" outlineLevel="0" collapsed="false">
      <c r="A344" s="2" t="s">
        <v>2325</v>
      </c>
      <c r="B344" s="2" t="n">
        <v>2024</v>
      </c>
      <c r="C344" s="2" t="s">
        <v>389</v>
      </c>
      <c r="D344" s="2" t="s">
        <v>316</v>
      </c>
      <c r="E344" s="2" t="s">
        <v>104</v>
      </c>
      <c r="F344" s="2" t="n">
        <v>3</v>
      </c>
      <c r="G344" s="2" t="s">
        <v>35</v>
      </c>
      <c r="H344" s="2" t="s">
        <v>1199</v>
      </c>
      <c r="I344" s="2" t="n">
        <v>8</v>
      </c>
      <c r="J344" s="2" t="n">
        <v>2</v>
      </c>
      <c r="K344" s="2" t="s">
        <v>64</v>
      </c>
      <c r="L344" s="2" t="s">
        <v>86</v>
      </c>
      <c r="M344" s="2"/>
      <c r="N344" s="2"/>
      <c r="O344" s="3"/>
      <c r="P344" s="2" t="s">
        <v>1214</v>
      </c>
      <c r="Q344" s="2" t="s">
        <v>1215</v>
      </c>
      <c r="R344" s="2" t="s">
        <v>1216</v>
      </c>
      <c r="S344" s="2" t="s">
        <v>2326</v>
      </c>
      <c r="T344" s="3" t="s">
        <v>2327</v>
      </c>
      <c r="U344" s="3"/>
      <c r="V344" s="3" t="s">
        <v>2328</v>
      </c>
      <c r="W344" s="3" t="s">
        <v>2329</v>
      </c>
      <c r="X344" s="2" t="n">
        <v>14</v>
      </c>
      <c r="Y344" s="2" t="n">
        <v>3</v>
      </c>
      <c r="Z344" s="2" t="s">
        <v>47</v>
      </c>
      <c r="AA344" s="3"/>
      <c r="AB344" s="5"/>
      <c r="AC344" s="5"/>
      <c r="AD344" s="3" t="s">
        <v>2330</v>
      </c>
      <c r="AE344" s="3" t="s">
        <v>2331</v>
      </c>
    </row>
    <row r="345" customFormat="false" ht="60" hidden="false" customHeight="true" outlineLevel="0" collapsed="false">
      <c r="A345" s="2" t="s">
        <v>2332</v>
      </c>
      <c r="B345" s="2" t="n">
        <v>2024</v>
      </c>
      <c r="C345" s="2" t="s">
        <v>389</v>
      </c>
      <c r="D345" s="2" t="s">
        <v>316</v>
      </c>
      <c r="E345" s="2" t="s">
        <v>104</v>
      </c>
      <c r="F345" s="2" t="n">
        <v>3</v>
      </c>
      <c r="G345" s="2" t="s">
        <v>52</v>
      </c>
      <c r="H345" s="2" t="s">
        <v>1199</v>
      </c>
      <c r="I345" s="2" t="n">
        <v>12</v>
      </c>
      <c r="J345" s="2" t="n">
        <v>4</v>
      </c>
      <c r="K345" s="2" t="s">
        <v>813</v>
      </c>
      <c r="L345" s="2"/>
      <c r="M345" s="2"/>
      <c r="N345" s="2"/>
      <c r="O345" s="3"/>
      <c r="P345" s="2" t="s">
        <v>1214</v>
      </c>
      <c r="Q345" s="2" t="s">
        <v>1215</v>
      </c>
      <c r="R345" s="2" t="s">
        <v>1216</v>
      </c>
      <c r="S345" s="2" t="s">
        <v>1989</v>
      </c>
      <c r="T345" s="3" t="s">
        <v>2333</v>
      </c>
      <c r="U345" s="3"/>
      <c r="V345" s="3" t="s">
        <v>2334</v>
      </c>
      <c r="W345" s="3" t="s">
        <v>2335</v>
      </c>
      <c r="X345" s="2" t="n">
        <v>15</v>
      </c>
      <c r="Y345" s="2" t="n">
        <v>3</v>
      </c>
      <c r="Z345" s="2" t="s">
        <v>47</v>
      </c>
      <c r="AA345" s="3"/>
      <c r="AB345" s="5"/>
      <c r="AC345" s="5"/>
      <c r="AD345" s="3" t="s">
        <v>2336</v>
      </c>
      <c r="AE345" s="3" t="s">
        <v>2337</v>
      </c>
    </row>
    <row r="346" customFormat="false" ht="60" hidden="false" customHeight="true" outlineLevel="0" collapsed="false">
      <c r="A346" s="2" t="s">
        <v>2338</v>
      </c>
      <c r="B346" s="2" t="n">
        <v>2024</v>
      </c>
      <c r="C346" s="2" t="s">
        <v>389</v>
      </c>
      <c r="D346" s="2" t="s">
        <v>316</v>
      </c>
      <c r="E346" s="2" t="s">
        <v>1230</v>
      </c>
      <c r="F346" s="2" t="n">
        <v>4</v>
      </c>
      <c r="G346" s="2" t="s">
        <v>35</v>
      </c>
      <c r="H346" s="2" t="s">
        <v>1231</v>
      </c>
      <c r="I346" s="2" t="n">
        <v>8</v>
      </c>
      <c r="J346" s="2" t="n">
        <v>2</v>
      </c>
      <c r="K346" s="2" t="s">
        <v>64</v>
      </c>
      <c r="L346" s="2" t="s">
        <v>86</v>
      </c>
      <c r="M346" s="2" t="s">
        <v>37</v>
      </c>
      <c r="N346" s="2"/>
      <c r="O346" s="3" t="s">
        <v>73</v>
      </c>
      <c r="P346" s="2" t="s">
        <v>39</v>
      </c>
      <c r="Q346" s="2" t="s">
        <v>40</v>
      </c>
      <c r="R346" s="2" t="s">
        <v>301</v>
      </c>
      <c r="S346" s="2" t="s">
        <v>2339</v>
      </c>
      <c r="T346" s="3" t="s">
        <v>2340</v>
      </c>
      <c r="U346" s="3"/>
      <c r="V346" s="3" t="s">
        <v>2341</v>
      </c>
      <c r="W346" s="3" t="s">
        <v>2342</v>
      </c>
      <c r="X346" s="2" t="n">
        <v>16</v>
      </c>
      <c r="Y346" s="2" t="n">
        <v>4</v>
      </c>
      <c r="Z346" s="2" t="s">
        <v>47</v>
      </c>
      <c r="AA346" s="3"/>
      <c r="AB346" s="5"/>
      <c r="AC346" s="5"/>
      <c r="AD346" s="3"/>
      <c r="AE346" s="3" t="s">
        <v>2343</v>
      </c>
    </row>
    <row r="347" customFormat="false" ht="60" hidden="false" customHeight="true" outlineLevel="0" collapsed="false">
      <c r="A347" s="2" t="s">
        <v>2344</v>
      </c>
      <c r="B347" s="2" t="n">
        <v>2024</v>
      </c>
      <c r="C347" s="2" t="s">
        <v>389</v>
      </c>
      <c r="D347" s="2" t="s">
        <v>316</v>
      </c>
      <c r="E347" s="2" t="s">
        <v>1230</v>
      </c>
      <c r="F347" s="2" t="n">
        <v>4</v>
      </c>
      <c r="G347" s="2" t="s">
        <v>52</v>
      </c>
      <c r="H347" s="2" t="s">
        <v>1231</v>
      </c>
      <c r="I347" s="2" t="n">
        <v>12</v>
      </c>
      <c r="J347" s="2" t="n">
        <v>4</v>
      </c>
      <c r="K347" s="2" t="s">
        <v>813</v>
      </c>
      <c r="L347" s="2"/>
      <c r="M347" s="2"/>
      <c r="N347" s="2"/>
      <c r="O347" s="3" t="s">
        <v>504</v>
      </c>
      <c r="P347" s="2" t="s">
        <v>39</v>
      </c>
      <c r="Q347" s="2" t="s">
        <v>40</v>
      </c>
      <c r="R347" s="2" t="s">
        <v>41</v>
      </c>
      <c r="S347" s="2" t="s">
        <v>405</v>
      </c>
      <c r="T347" s="3" t="s">
        <v>2345</v>
      </c>
      <c r="U347" s="3"/>
      <c r="V347" s="3" t="s">
        <v>2346</v>
      </c>
      <c r="W347" s="3" t="s">
        <v>2347</v>
      </c>
      <c r="X347" s="2" t="n">
        <v>17</v>
      </c>
      <c r="Y347" s="2" t="n">
        <v>4</v>
      </c>
      <c r="Z347" s="2" t="s">
        <v>47</v>
      </c>
      <c r="AA347" s="3"/>
      <c r="AB347" s="5"/>
      <c r="AC347" s="5"/>
      <c r="AD347" s="3" t="s">
        <v>2348</v>
      </c>
      <c r="AE347" s="3" t="s">
        <v>2349</v>
      </c>
    </row>
    <row r="348" customFormat="false" ht="60" hidden="false" customHeight="true" outlineLevel="0" collapsed="false">
      <c r="A348" s="2" t="s">
        <v>2350</v>
      </c>
      <c r="B348" s="2" t="n">
        <v>2024</v>
      </c>
      <c r="C348" s="2" t="s">
        <v>389</v>
      </c>
      <c r="D348" s="2" t="s">
        <v>316</v>
      </c>
      <c r="E348" s="2" t="s">
        <v>1230</v>
      </c>
      <c r="F348" s="2" t="n">
        <v>5</v>
      </c>
      <c r="G348" s="2" t="s">
        <v>35</v>
      </c>
      <c r="H348" s="2" t="s">
        <v>1231</v>
      </c>
      <c r="I348" s="2" t="n">
        <v>8</v>
      </c>
      <c r="J348" s="2" t="n">
        <v>2</v>
      </c>
      <c r="K348" s="2" t="s">
        <v>64</v>
      </c>
      <c r="L348" s="2" t="s">
        <v>86</v>
      </c>
      <c r="M348" s="2"/>
      <c r="N348" s="2"/>
      <c r="O348" s="3"/>
      <c r="P348" s="2" t="s">
        <v>133</v>
      </c>
      <c r="Q348" s="2" t="s">
        <v>134</v>
      </c>
      <c r="R348" s="2" t="s">
        <v>135</v>
      </c>
      <c r="S348" s="2" t="s">
        <v>1600</v>
      </c>
      <c r="T348" s="3" t="s">
        <v>2351</v>
      </c>
      <c r="U348" s="3"/>
      <c r="V348" s="3" t="s">
        <v>2352</v>
      </c>
      <c r="W348" s="3" t="s">
        <v>2353</v>
      </c>
      <c r="X348" s="2" t="n">
        <v>18</v>
      </c>
      <c r="Y348" s="2" t="n">
        <v>4</v>
      </c>
      <c r="Z348" s="2" t="s">
        <v>47</v>
      </c>
      <c r="AA348" s="3"/>
      <c r="AB348" s="5"/>
      <c r="AC348" s="5"/>
      <c r="AD348" s="3" t="s">
        <v>2354</v>
      </c>
      <c r="AE348" s="3" t="s">
        <v>2355</v>
      </c>
    </row>
    <row r="349" customFormat="false" ht="60" hidden="false" customHeight="true" outlineLevel="0" collapsed="false">
      <c r="A349" s="2" t="s">
        <v>2356</v>
      </c>
      <c r="B349" s="2" t="n">
        <v>2024</v>
      </c>
      <c r="C349" s="2" t="s">
        <v>389</v>
      </c>
      <c r="D349" s="2" t="s">
        <v>316</v>
      </c>
      <c r="E349" s="2" t="s">
        <v>1230</v>
      </c>
      <c r="F349" s="2" t="n">
        <v>5</v>
      </c>
      <c r="G349" s="2" t="s">
        <v>52</v>
      </c>
      <c r="H349" s="2" t="s">
        <v>1231</v>
      </c>
      <c r="I349" s="2" t="n">
        <v>12</v>
      </c>
      <c r="J349" s="2" t="n">
        <v>4</v>
      </c>
      <c r="K349" s="2" t="s">
        <v>813</v>
      </c>
      <c r="L349" s="2"/>
      <c r="M349" s="2"/>
      <c r="N349" s="2"/>
      <c r="O349" s="3" t="s">
        <v>748</v>
      </c>
      <c r="P349" s="2" t="s">
        <v>466</v>
      </c>
      <c r="Q349" s="2" t="s">
        <v>467</v>
      </c>
      <c r="R349" s="2" t="s">
        <v>1006</v>
      </c>
      <c r="S349" s="2" t="s">
        <v>2357</v>
      </c>
      <c r="T349" s="3" t="s">
        <v>2358</v>
      </c>
      <c r="U349" s="3"/>
      <c r="V349" s="3" t="s">
        <v>2359</v>
      </c>
      <c r="W349" s="3" t="s">
        <v>2360</v>
      </c>
      <c r="X349" s="2" t="n">
        <v>19</v>
      </c>
      <c r="Y349" s="2" t="n">
        <v>4</v>
      </c>
      <c r="Z349" s="2" t="s">
        <v>47</v>
      </c>
      <c r="AA349" s="3"/>
      <c r="AB349" s="5"/>
      <c r="AC349" s="5"/>
      <c r="AD349" s="3" t="s">
        <v>2361</v>
      </c>
      <c r="AE349" s="3" t="s">
        <v>2362</v>
      </c>
    </row>
    <row r="350" customFormat="false" ht="60" hidden="false" customHeight="true" outlineLevel="0" collapsed="false">
      <c r="A350" s="2" t="s">
        <v>2363</v>
      </c>
      <c r="B350" s="2" t="n">
        <v>2025</v>
      </c>
      <c r="C350" s="2" t="s">
        <v>160</v>
      </c>
      <c r="D350" s="2" t="s">
        <v>161</v>
      </c>
      <c r="E350" s="2" t="s">
        <v>34</v>
      </c>
      <c r="F350" s="2" t="n">
        <v>1</v>
      </c>
      <c r="G350" s="2" t="s">
        <v>35</v>
      </c>
      <c r="H350" s="2"/>
      <c r="I350" s="2" t="n">
        <v>2</v>
      </c>
      <c r="J350" s="2" t="n">
        <v>0</v>
      </c>
      <c r="K350" s="2" t="s">
        <v>252</v>
      </c>
      <c r="L350" s="2"/>
      <c r="M350" s="2"/>
      <c r="N350" s="2"/>
      <c r="O350" s="3" t="s">
        <v>38</v>
      </c>
      <c r="P350" s="2" t="s">
        <v>39</v>
      </c>
      <c r="Q350" s="2" t="s">
        <v>40</v>
      </c>
      <c r="R350" s="2" t="s">
        <v>404</v>
      </c>
      <c r="S350" s="2" t="s">
        <v>2364</v>
      </c>
      <c r="T350" s="3" t="s">
        <v>2365</v>
      </c>
      <c r="U350" s="3" t="s">
        <v>2366</v>
      </c>
      <c r="V350" s="3" t="s">
        <v>2367</v>
      </c>
      <c r="W350" s="3" t="s">
        <v>2368</v>
      </c>
      <c r="X350" s="2" t="n">
        <v>9</v>
      </c>
      <c r="Y350" s="2" t="n">
        <v>3</v>
      </c>
      <c r="Z350" s="2" t="s">
        <v>47</v>
      </c>
      <c r="AA350" s="4" t="s">
        <v>48</v>
      </c>
      <c r="AB350" s="5"/>
      <c r="AC350" s="5"/>
      <c r="AD350" s="3"/>
      <c r="AE350" s="3" t="s">
        <v>2369</v>
      </c>
    </row>
    <row r="351" customFormat="false" ht="60" hidden="false" customHeight="true" outlineLevel="0" collapsed="false">
      <c r="A351" s="2" t="s">
        <v>2370</v>
      </c>
      <c r="B351" s="2" t="n">
        <v>2025</v>
      </c>
      <c r="C351" s="2" t="s">
        <v>160</v>
      </c>
      <c r="D351" s="2" t="s">
        <v>161</v>
      </c>
      <c r="E351" s="2" t="s">
        <v>34</v>
      </c>
      <c r="F351" s="2" t="n">
        <v>1</v>
      </c>
      <c r="G351" s="2" t="s">
        <v>52</v>
      </c>
      <c r="H351" s="2"/>
      <c r="I351" s="2" t="n">
        <v>2</v>
      </c>
      <c r="J351" s="2" t="n">
        <v>0</v>
      </c>
      <c r="K351" s="2" t="s">
        <v>64</v>
      </c>
      <c r="L351" s="2"/>
      <c r="M351" s="2"/>
      <c r="N351" s="2"/>
      <c r="O351" s="3"/>
      <c r="P351" s="2" t="s">
        <v>39</v>
      </c>
      <c r="Q351" s="2" t="s">
        <v>40</v>
      </c>
      <c r="R351" s="2" t="s">
        <v>41</v>
      </c>
      <c r="S351" s="2" t="s">
        <v>42</v>
      </c>
      <c r="T351" s="3" t="s">
        <v>2371</v>
      </c>
      <c r="U351" s="3" t="s">
        <v>2366</v>
      </c>
      <c r="V351" s="3" t="s">
        <v>2372</v>
      </c>
      <c r="W351" s="3" t="s">
        <v>2373</v>
      </c>
      <c r="X351" s="2" t="n">
        <v>9</v>
      </c>
      <c r="Y351" s="2" t="n">
        <v>3</v>
      </c>
      <c r="Z351" s="2" t="s">
        <v>47</v>
      </c>
      <c r="AA351" s="4" t="s">
        <v>69</v>
      </c>
      <c r="AB351" s="5"/>
      <c r="AC351" s="5"/>
      <c r="AD351" s="3"/>
      <c r="AE351" s="3" t="s">
        <v>2374</v>
      </c>
    </row>
    <row r="352" customFormat="false" ht="60" hidden="false" customHeight="true" outlineLevel="0" collapsed="false">
      <c r="A352" s="2" t="s">
        <v>2375</v>
      </c>
      <c r="B352" s="2" t="n">
        <v>2025</v>
      </c>
      <c r="C352" s="2" t="s">
        <v>160</v>
      </c>
      <c r="D352" s="2" t="s">
        <v>161</v>
      </c>
      <c r="E352" s="2" t="s">
        <v>34</v>
      </c>
      <c r="F352" s="2" t="n">
        <v>1</v>
      </c>
      <c r="G352" s="2" t="s">
        <v>63</v>
      </c>
      <c r="H352" s="2"/>
      <c r="I352" s="2" t="n">
        <v>4</v>
      </c>
      <c r="J352" s="2" t="n">
        <v>1</v>
      </c>
      <c r="K352" s="2" t="s">
        <v>86</v>
      </c>
      <c r="L352" s="2"/>
      <c r="M352" s="2"/>
      <c r="N352" s="2"/>
      <c r="O352" s="3" t="s">
        <v>308</v>
      </c>
      <c r="P352" s="2" t="s">
        <v>39</v>
      </c>
      <c r="Q352" s="2" t="s">
        <v>40</v>
      </c>
      <c r="R352" s="2" t="s">
        <v>404</v>
      </c>
      <c r="S352" s="2" t="s">
        <v>2376</v>
      </c>
      <c r="T352" s="3" t="s">
        <v>2377</v>
      </c>
      <c r="U352" s="3" t="s">
        <v>2366</v>
      </c>
      <c r="V352" s="3" t="s">
        <v>2378</v>
      </c>
      <c r="W352" s="3" t="s">
        <v>2379</v>
      </c>
      <c r="X352" s="2" t="n">
        <v>10</v>
      </c>
      <c r="Y352" s="2" t="n">
        <v>3</v>
      </c>
      <c r="Z352" s="2" t="s">
        <v>47</v>
      </c>
      <c r="AA352" s="4" t="s">
        <v>81</v>
      </c>
      <c r="AB352" s="5" t="s">
        <v>2380</v>
      </c>
      <c r="AC352" s="5" t="s">
        <v>2381</v>
      </c>
      <c r="AD352" s="3"/>
      <c r="AE352" s="3" t="s">
        <v>2382</v>
      </c>
    </row>
    <row r="353" customFormat="false" ht="60" hidden="false" customHeight="true" outlineLevel="0" collapsed="false">
      <c r="A353" s="2" t="s">
        <v>2383</v>
      </c>
      <c r="B353" s="2" t="n">
        <v>2025</v>
      </c>
      <c r="C353" s="2" t="s">
        <v>160</v>
      </c>
      <c r="D353" s="2" t="s">
        <v>161</v>
      </c>
      <c r="E353" s="2" t="s">
        <v>34</v>
      </c>
      <c r="F353" s="2" t="n">
        <v>1</v>
      </c>
      <c r="G353" s="2" t="s">
        <v>72</v>
      </c>
      <c r="H353" s="2"/>
      <c r="I353" s="2" t="n">
        <v>6</v>
      </c>
      <c r="J353" s="2" t="n">
        <v>2</v>
      </c>
      <c r="K353" s="2" t="s">
        <v>813</v>
      </c>
      <c r="L353" s="2"/>
      <c r="M353" s="2"/>
      <c r="N353" s="2"/>
      <c r="O353" s="3" t="s">
        <v>527</v>
      </c>
      <c r="P353" s="2" t="s">
        <v>87</v>
      </c>
      <c r="Q353" s="2" t="s">
        <v>88</v>
      </c>
      <c r="R353" s="2" t="s">
        <v>2384</v>
      </c>
      <c r="S353" s="2" t="s">
        <v>2385</v>
      </c>
      <c r="T353" s="3" t="s">
        <v>2386</v>
      </c>
      <c r="U353" s="3" t="s">
        <v>2366</v>
      </c>
      <c r="V353" s="3" t="s">
        <v>2387</v>
      </c>
      <c r="W353" s="3" t="s">
        <v>2388</v>
      </c>
      <c r="X353" s="2" t="n">
        <v>11</v>
      </c>
      <c r="Y353" s="2" t="n">
        <v>3</v>
      </c>
      <c r="Z353" s="2" t="s">
        <v>47</v>
      </c>
      <c r="AA353" s="4" t="s">
        <v>69</v>
      </c>
      <c r="AB353" s="5"/>
      <c r="AC353" s="5"/>
      <c r="AD353" s="3"/>
      <c r="AE353" s="3" t="s">
        <v>2389</v>
      </c>
    </row>
    <row r="354" customFormat="false" ht="60" hidden="false" customHeight="true" outlineLevel="0" collapsed="false">
      <c r="A354" s="2" t="s">
        <v>2390</v>
      </c>
      <c r="B354" s="2" t="n">
        <v>2025</v>
      </c>
      <c r="C354" s="2" t="s">
        <v>160</v>
      </c>
      <c r="D354" s="2" t="s">
        <v>161</v>
      </c>
      <c r="E354" s="2" t="s">
        <v>34</v>
      </c>
      <c r="F354" s="2" t="n">
        <v>1</v>
      </c>
      <c r="G354" s="2" t="s">
        <v>84</v>
      </c>
      <c r="H354" s="2"/>
      <c r="I354" s="2" t="n">
        <v>6</v>
      </c>
      <c r="J354" s="2" t="n">
        <v>2</v>
      </c>
      <c r="K354" s="2" t="s">
        <v>813</v>
      </c>
      <c r="L354" s="2"/>
      <c r="M354" s="2"/>
      <c r="N354" s="2"/>
      <c r="O354" s="3"/>
      <c r="P354" s="2" t="s">
        <v>87</v>
      </c>
      <c r="Q354" s="2" t="s">
        <v>88</v>
      </c>
      <c r="R354" s="2" t="s">
        <v>2391</v>
      </c>
      <c r="S354" s="2" t="s">
        <v>2392</v>
      </c>
      <c r="T354" s="3" t="s">
        <v>2393</v>
      </c>
      <c r="U354" s="3" t="s">
        <v>2366</v>
      </c>
      <c r="V354" s="3" t="s">
        <v>2394</v>
      </c>
      <c r="W354" s="3" t="s">
        <v>2395</v>
      </c>
      <c r="X354" s="2" t="n">
        <v>11</v>
      </c>
      <c r="Y354" s="2" t="n">
        <v>3</v>
      </c>
      <c r="Z354" s="2" t="s">
        <v>47</v>
      </c>
      <c r="AA354" s="4" t="s">
        <v>69</v>
      </c>
      <c r="AB354" s="5"/>
      <c r="AC354" s="5"/>
      <c r="AD354" s="3"/>
      <c r="AE354" s="3" t="s">
        <v>2396</v>
      </c>
    </row>
    <row r="355" customFormat="false" ht="60" hidden="false" customHeight="true" outlineLevel="0" collapsed="false">
      <c r="A355" s="2" t="s">
        <v>2397</v>
      </c>
      <c r="B355" s="2" t="n">
        <v>2025</v>
      </c>
      <c r="C355" s="2" t="s">
        <v>160</v>
      </c>
      <c r="D355" s="2" t="s">
        <v>161</v>
      </c>
      <c r="E355" s="2" t="s">
        <v>104</v>
      </c>
      <c r="F355" s="2" t="n">
        <v>2</v>
      </c>
      <c r="G355" s="2" t="s">
        <v>35</v>
      </c>
      <c r="H355" s="2" t="s">
        <v>1199</v>
      </c>
      <c r="I355" s="2" t="n">
        <v>8</v>
      </c>
      <c r="J355" s="2" t="n">
        <v>2</v>
      </c>
      <c r="K355" s="2" t="s">
        <v>64</v>
      </c>
      <c r="L355" s="2" t="s">
        <v>86</v>
      </c>
      <c r="M355" s="2" t="s">
        <v>37</v>
      </c>
      <c r="N355" s="2"/>
      <c r="O355" s="3" t="s">
        <v>1402</v>
      </c>
      <c r="P355" s="2" t="s">
        <v>106</v>
      </c>
      <c r="Q355" s="2" t="s">
        <v>107</v>
      </c>
      <c r="R355" s="2" t="s">
        <v>519</v>
      </c>
      <c r="S355" s="2" t="s">
        <v>2398</v>
      </c>
      <c r="T355" s="3" t="s">
        <v>2399</v>
      </c>
      <c r="U355" s="3"/>
      <c r="V355" s="3" t="s">
        <v>2400</v>
      </c>
      <c r="W355" s="3" t="s">
        <v>2401</v>
      </c>
      <c r="X355" s="2" t="n">
        <v>12</v>
      </c>
      <c r="Y355" s="2" t="n">
        <v>3</v>
      </c>
      <c r="Z355" s="2" t="s">
        <v>47</v>
      </c>
      <c r="AA355" s="3"/>
      <c r="AB355" s="5"/>
      <c r="AC355" s="5"/>
      <c r="AD355" s="3" t="s">
        <v>2402</v>
      </c>
      <c r="AE355" s="3" t="s">
        <v>2403</v>
      </c>
    </row>
    <row r="356" customFormat="false" ht="60" hidden="false" customHeight="true" outlineLevel="0" collapsed="false">
      <c r="A356" s="2" t="s">
        <v>2404</v>
      </c>
      <c r="B356" s="2" t="n">
        <v>2025</v>
      </c>
      <c r="C356" s="2" t="s">
        <v>160</v>
      </c>
      <c r="D356" s="2" t="s">
        <v>161</v>
      </c>
      <c r="E356" s="2" t="s">
        <v>104</v>
      </c>
      <c r="F356" s="2" t="n">
        <v>2</v>
      </c>
      <c r="G356" s="2" t="s">
        <v>52</v>
      </c>
      <c r="H356" s="2" t="s">
        <v>1199</v>
      </c>
      <c r="I356" s="2" t="n">
        <v>12</v>
      </c>
      <c r="J356" s="2" t="n">
        <v>4</v>
      </c>
      <c r="K356" s="2" t="s">
        <v>813</v>
      </c>
      <c r="L356" s="2"/>
      <c r="M356" s="2"/>
      <c r="N356" s="2"/>
      <c r="O356" s="3" t="s">
        <v>527</v>
      </c>
      <c r="P356" s="2" t="s">
        <v>106</v>
      </c>
      <c r="Q356" s="2" t="s">
        <v>107</v>
      </c>
      <c r="R356" s="2" t="s">
        <v>2405</v>
      </c>
      <c r="S356" s="2" t="s">
        <v>2406</v>
      </c>
      <c r="T356" s="3" t="s">
        <v>2407</v>
      </c>
      <c r="U356" s="3"/>
      <c r="V356" s="3" t="s">
        <v>2408</v>
      </c>
      <c r="W356" s="3" t="s">
        <v>2409</v>
      </c>
      <c r="X356" s="2" t="n">
        <v>13</v>
      </c>
      <c r="Y356" s="2" t="n">
        <v>3</v>
      </c>
      <c r="Z356" s="2" t="s">
        <v>47</v>
      </c>
      <c r="AA356" s="3"/>
      <c r="AB356" s="5"/>
      <c r="AC356" s="5"/>
      <c r="AD356" s="3"/>
      <c r="AE356" s="3" t="s">
        <v>2410</v>
      </c>
    </row>
    <row r="357" customFormat="false" ht="60" hidden="false" customHeight="true" outlineLevel="0" collapsed="false">
      <c r="A357" s="2" t="s">
        <v>2411</v>
      </c>
      <c r="B357" s="2" t="n">
        <v>2025</v>
      </c>
      <c r="C357" s="2" t="s">
        <v>160</v>
      </c>
      <c r="D357" s="2" t="s">
        <v>161</v>
      </c>
      <c r="E357" s="2" t="s">
        <v>104</v>
      </c>
      <c r="F357" s="2" t="n">
        <v>3</v>
      </c>
      <c r="G357" s="2" t="s">
        <v>35</v>
      </c>
      <c r="H357" s="2" t="s">
        <v>1199</v>
      </c>
      <c r="I357" s="2" t="n">
        <v>8</v>
      </c>
      <c r="J357" s="2" t="n">
        <v>2</v>
      </c>
      <c r="K357" s="2" t="s">
        <v>64</v>
      </c>
      <c r="L357" s="2" t="s">
        <v>86</v>
      </c>
      <c r="M357" s="2" t="s">
        <v>37</v>
      </c>
      <c r="N357" s="2"/>
      <c r="O357" s="3" t="s">
        <v>73</v>
      </c>
      <c r="P357" s="2" t="s">
        <v>151</v>
      </c>
      <c r="Q357" s="2" t="s">
        <v>152</v>
      </c>
      <c r="R357" s="2" t="s">
        <v>1807</v>
      </c>
      <c r="S357" s="2" t="s">
        <v>2412</v>
      </c>
      <c r="T357" s="3" t="s">
        <v>2413</v>
      </c>
      <c r="U357" s="3"/>
      <c r="V357" s="3" t="s">
        <v>2414</v>
      </c>
      <c r="W357" s="3" t="s">
        <v>2415</v>
      </c>
      <c r="X357" s="2" t="n">
        <v>14</v>
      </c>
      <c r="Y357" s="2" t="n">
        <v>3</v>
      </c>
      <c r="Z357" s="2" t="s">
        <v>47</v>
      </c>
      <c r="AA357" s="3"/>
      <c r="AB357" s="5"/>
      <c r="AC357" s="5"/>
      <c r="AD357" s="3"/>
      <c r="AE357" s="3" t="s">
        <v>2416</v>
      </c>
    </row>
    <row r="358" customFormat="false" ht="60" hidden="false" customHeight="true" outlineLevel="0" collapsed="false">
      <c r="A358" s="2" t="s">
        <v>2417</v>
      </c>
      <c r="B358" s="2" t="n">
        <v>2025</v>
      </c>
      <c r="C358" s="2" t="s">
        <v>160</v>
      </c>
      <c r="D358" s="2" t="s">
        <v>161</v>
      </c>
      <c r="E358" s="2" t="s">
        <v>104</v>
      </c>
      <c r="F358" s="2" t="n">
        <v>3</v>
      </c>
      <c r="G358" s="2" t="s">
        <v>52</v>
      </c>
      <c r="H358" s="2" t="s">
        <v>1199</v>
      </c>
      <c r="I358" s="2" t="n">
        <v>12</v>
      </c>
      <c r="J358" s="2" t="n">
        <v>4</v>
      </c>
      <c r="K358" s="2" t="s">
        <v>813</v>
      </c>
      <c r="L358" s="2"/>
      <c r="M358" s="2"/>
      <c r="N358" s="2"/>
      <c r="O358" s="3" t="s">
        <v>748</v>
      </c>
      <c r="P358" s="2" t="s">
        <v>151</v>
      </c>
      <c r="Q358" s="2" t="s">
        <v>152</v>
      </c>
      <c r="R358" s="2" t="s">
        <v>2418</v>
      </c>
      <c r="S358" s="2" t="s">
        <v>2419</v>
      </c>
      <c r="T358" s="3" t="s">
        <v>2420</v>
      </c>
      <c r="U358" s="3"/>
      <c r="V358" s="3" t="s">
        <v>2421</v>
      </c>
      <c r="W358" s="3" t="s">
        <v>2422</v>
      </c>
      <c r="X358" s="2" t="n">
        <v>15</v>
      </c>
      <c r="Y358" s="2" t="n">
        <v>3</v>
      </c>
      <c r="Z358" s="2" t="s">
        <v>47</v>
      </c>
      <c r="AA358" s="3"/>
      <c r="AB358" s="5"/>
      <c r="AC358" s="5"/>
      <c r="AD358" s="3" t="s">
        <v>2423</v>
      </c>
      <c r="AE358" s="3" t="s">
        <v>2424</v>
      </c>
    </row>
    <row r="359" customFormat="false" ht="60" hidden="false" customHeight="true" outlineLevel="0" collapsed="false">
      <c r="A359" s="2" t="s">
        <v>2425</v>
      </c>
      <c r="B359" s="2" t="n">
        <v>2025</v>
      </c>
      <c r="C359" s="2" t="s">
        <v>160</v>
      </c>
      <c r="D359" s="2" t="s">
        <v>161</v>
      </c>
      <c r="E359" s="2" t="s">
        <v>1230</v>
      </c>
      <c r="F359" s="2" t="n">
        <v>4</v>
      </c>
      <c r="G359" s="2" t="s">
        <v>35</v>
      </c>
      <c r="H359" s="2" t="s">
        <v>1231</v>
      </c>
      <c r="I359" s="2" t="n">
        <v>8</v>
      </c>
      <c r="J359" s="2" t="n">
        <v>2</v>
      </c>
      <c r="K359" s="2" t="s">
        <v>64</v>
      </c>
      <c r="L359" s="2" t="s">
        <v>86</v>
      </c>
      <c r="M359" s="2"/>
      <c r="N359" s="2"/>
      <c r="O359" s="3" t="s">
        <v>232</v>
      </c>
      <c r="P359" s="2" t="s">
        <v>1232</v>
      </c>
      <c r="Q359" s="2" t="s">
        <v>1233</v>
      </c>
      <c r="R359" s="2" t="s">
        <v>1234</v>
      </c>
      <c r="S359" s="2" t="s">
        <v>1235</v>
      </c>
      <c r="T359" s="3" t="s">
        <v>2426</v>
      </c>
      <c r="U359" s="3"/>
      <c r="V359" s="3" t="s">
        <v>2427</v>
      </c>
      <c r="W359" s="3" t="s">
        <v>2428</v>
      </c>
      <c r="X359" s="2" t="n">
        <v>16</v>
      </c>
      <c r="Y359" s="2" t="n">
        <v>4</v>
      </c>
      <c r="Z359" s="2" t="s">
        <v>47</v>
      </c>
      <c r="AA359" s="3"/>
      <c r="AB359" s="5"/>
      <c r="AC359" s="5"/>
      <c r="AD359" s="3" t="s">
        <v>2429</v>
      </c>
      <c r="AE359" s="3" t="s">
        <v>2430</v>
      </c>
    </row>
    <row r="360" customFormat="false" ht="60" hidden="false" customHeight="true" outlineLevel="0" collapsed="false">
      <c r="A360" s="2" t="s">
        <v>2431</v>
      </c>
      <c r="B360" s="2" t="n">
        <v>2025</v>
      </c>
      <c r="C360" s="2" t="s">
        <v>160</v>
      </c>
      <c r="D360" s="2" t="s">
        <v>161</v>
      </c>
      <c r="E360" s="2" t="s">
        <v>1230</v>
      </c>
      <c r="F360" s="2" t="n">
        <v>4</v>
      </c>
      <c r="G360" s="2" t="s">
        <v>52</v>
      </c>
      <c r="H360" s="2" t="s">
        <v>1231</v>
      </c>
      <c r="I360" s="2" t="n">
        <v>12</v>
      </c>
      <c r="J360" s="2" t="n">
        <v>4</v>
      </c>
      <c r="K360" s="2" t="s">
        <v>813</v>
      </c>
      <c r="L360" s="2"/>
      <c r="M360" s="2"/>
      <c r="N360" s="2"/>
      <c r="O360" s="3" t="s">
        <v>432</v>
      </c>
      <c r="P360" s="2" t="s">
        <v>133</v>
      </c>
      <c r="Q360" s="2" t="s">
        <v>134</v>
      </c>
      <c r="R360" s="2" t="s">
        <v>274</v>
      </c>
      <c r="S360" s="2" t="s">
        <v>275</v>
      </c>
      <c r="T360" s="3" t="s">
        <v>2432</v>
      </c>
      <c r="U360" s="3"/>
      <c r="V360" s="3" t="s">
        <v>2433</v>
      </c>
      <c r="W360" s="3" t="s">
        <v>2434</v>
      </c>
      <c r="X360" s="2" t="n">
        <v>17</v>
      </c>
      <c r="Y360" s="2" t="n">
        <v>4</v>
      </c>
      <c r="Z360" s="2" t="s">
        <v>47</v>
      </c>
      <c r="AA360" s="3"/>
      <c r="AB360" s="5"/>
      <c r="AC360" s="5"/>
      <c r="AD360" s="3" t="s">
        <v>2435</v>
      </c>
      <c r="AE360" s="3" t="s">
        <v>2436</v>
      </c>
    </row>
    <row r="361" customFormat="false" ht="60" hidden="false" customHeight="true" outlineLevel="0" collapsed="false">
      <c r="A361" s="2" t="s">
        <v>2437</v>
      </c>
      <c r="B361" s="2" t="n">
        <v>2025</v>
      </c>
      <c r="C361" s="2" t="s">
        <v>160</v>
      </c>
      <c r="D361" s="2" t="s">
        <v>161</v>
      </c>
      <c r="E361" s="2" t="s">
        <v>1230</v>
      </c>
      <c r="F361" s="2" t="n">
        <v>5</v>
      </c>
      <c r="G361" s="2" t="s">
        <v>35</v>
      </c>
      <c r="H361" s="2" t="s">
        <v>1231</v>
      </c>
      <c r="I361" s="2" t="n">
        <v>8</v>
      </c>
      <c r="J361" s="2" t="n">
        <v>2</v>
      </c>
      <c r="K361" s="2" t="s">
        <v>64</v>
      </c>
      <c r="L361" s="2" t="s">
        <v>86</v>
      </c>
      <c r="M361" s="2"/>
      <c r="N361" s="2"/>
      <c r="O361" s="3" t="s">
        <v>2438</v>
      </c>
      <c r="P361" s="2" t="s">
        <v>54</v>
      </c>
      <c r="Q361" s="2" t="s">
        <v>55</v>
      </c>
      <c r="R361" s="2" t="s">
        <v>56</v>
      </c>
      <c r="S361" s="2" t="s">
        <v>2439</v>
      </c>
      <c r="T361" s="3" t="s">
        <v>2440</v>
      </c>
      <c r="U361" s="3"/>
      <c r="V361" s="3" t="s">
        <v>2441</v>
      </c>
      <c r="W361" s="3" t="s">
        <v>2442</v>
      </c>
      <c r="X361" s="2" t="n">
        <v>19</v>
      </c>
      <c r="Y361" s="2" t="n">
        <v>4</v>
      </c>
      <c r="Z361" s="2" t="s">
        <v>47</v>
      </c>
      <c r="AA361" s="3"/>
      <c r="AB361" s="5"/>
      <c r="AC361" s="5"/>
      <c r="AD361" s="3"/>
      <c r="AE361" s="3" t="s">
        <v>2443</v>
      </c>
    </row>
    <row r="362" customFormat="false" ht="60" hidden="false" customHeight="true" outlineLevel="0" collapsed="false">
      <c r="A362" s="2" t="s">
        <v>2444</v>
      </c>
      <c r="B362" s="2" t="n">
        <v>2025</v>
      </c>
      <c r="C362" s="2" t="s">
        <v>160</v>
      </c>
      <c r="D362" s="2" t="s">
        <v>161</v>
      </c>
      <c r="E362" s="2" t="s">
        <v>1230</v>
      </c>
      <c r="F362" s="2" t="n">
        <v>5</v>
      </c>
      <c r="G362" s="2" t="s">
        <v>52</v>
      </c>
      <c r="H362" s="2" t="s">
        <v>1231</v>
      </c>
      <c r="I362" s="2" t="n">
        <v>12</v>
      </c>
      <c r="J362" s="2" t="n">
        <v>4</v>
      </c>
      <c r="K362" s="2" t="s">
        <v>813</v>
      </c>
      <c r="L362" s="2"/>
      <c r="M362" s="2"/>
      <c r="N362" s="2"/>
      <c r="O362" s="3" t="s">
        <v>527</v>
      </c>
      <c r="P362" s="2" t="s">
        <v>54</v>
      </c>
      <c r="Q362" s="2" t="s">
        <v>55</v>
      </c>
      <c r="R362" s="2" t="s">
        <v>2445</v>
      </c>
      <c r="S362" s="2" t="s">
        <v>2446</v>
      </c>
      <c r="T362" s="3" t="s">
        <v>2447</v>
      </c>
      <c r="U362" s="3"/>
      <c r="V362" s="3" t="s">
        <v>2448</v>
      </c>
      <c r="W362" s="3" t="s">
        <v>2449</v>
      </c>
      <c r="X362" s="2" t="n">
        <v>20</v>
      </c>
      <c r="Y362" s="2" t="n">
        <v>4</v>
      </c>
      <c r="Z362" s="2" t="s">
        <v>47</v>
      </c>
      <c r="AA362" s="3"/>
      <c r="AB362" s="5" t="s">
        <v>2380</v>
      </c>
      <c r="AC362" s="5" t="s">
        <v>2381</v>
      </c>
      <c r="AD362" s="3" t="s">
        <v>2450</v>
      </c>
      <c r="AE362" s="3" t="s">
        <v>2451</v>
      </c>
    </row>
    <row r="363" customFormat="false" ht="60" hidden="false" customHeight="true" outlineLevel="0" collapsed="false">
      <c r="A363" s="2" t="s">
        <v>2452</v>
      </c>
      <c r="B363" s="2" t="n">
        <v>2025</v>
      </c>
      <c r="C363" s="2" t="s">
        <v>160</v>
      </c>
      <c r="D363" s="2" t="s">
        <v>33</v>
      </c>
      <c r="E363" s="2" t="s">
        <v>34</v>
      </c>
      <c r="F363" s="2" t="n">
        <v>1</v>
      </c>
      <c r="G363" s="2" t="s">
        <v>162</v>
      </c>
      <c r="H363" s="2"/>
      <c r="I363" s="2" t="n">
        <v>1</v>
      </c>
      <c r="J363" s="2" t="n">
        <v>0</v>
      </c>
      <c r="K363" s="2" t="s">
        <v>53</v>
      </c>
      <c r="L363" s="2"/>
      <c r="M363" s="2"/>
      <c r="N363" s="2"/>
      <c r="O363" s="3"/>
      <c r="P363" s="2" t="s">
        <v>1266</v>
      </c>
      <c r="Q363" s="2" t="s">
        <v>1267</v>
      </c>
      <c r="R363" s="2" t="s">
        <v>1268</v>
      </c>
      <c r="S363" s="2" t="s">
        <v>1269</v>
      </c>
      <c r="T363" s="3" t="s">
        <v>2453</v>
      </c>
      <c r="U363" s="3" t="s">
        <v>2454</v>
      </c>
      <c r="V363" s="3" t="s">
        <v>2455</v>
      </c>
      <c r="W363" s="3" t="s">
        <v>2456</v>
      </c>
      <c r="X363" s="2" t="n">
        <v>9</v>
      </c>
      <c r="Y363" s="2" t="n">
        <v>3</v>
      </c>
      <c r="Z363" s="2" t="s">
        <v>47</v>
      </c>
      <c r="AA363" s="3"/>
      <c r="AB363" s="5"/>
      <c r="AC363" s="5"/>
      <c r="AD363" s="3" t="s">
        <v>2457</v>
      </c>
      <c r="AE363" s="3" t="s">
        <v>2458</v>
      </c>
    </row>
    <row r="364" customFormat="false" ht="60" hidden="false" customHeight="true" outlineLevel="0" collapsed="false">
      <c r="A364" s="2" t="s">
        <v>2459</v>
      </c>
      <c r="B364" s="2" t="n">
        <v>2025</v>
      </c>
      <c r="C364" s="2" t="s">
        <v>160</v>
      </c>
      <c r="D364" s="2" t="s">
        <v>33</v>
      </c>
      <c r="E364" s="2" t="s">
        <v>34</v>
      </c>
      <c r="F364" s="2" t="n">
        <v>1</v>
      </c>
      <c r="G364" s="2" t="s">
        <v>174</v>
      </c>
      <c r="H364" s="2"/>
      <c r="I364" s="2" t="n">
        <v>1</v>
      </c>
      <c r="J364" s="2" t="n">
        <v>0</v>
      </c>
      <c r="K364" s="2" t="s">
        <v>252</v>
      </c>
      <c r="L364" s="2"/>
      <c r="M364" s="2"/>
      <c r="N364" s="2"/>
      <c r="O364" s="3"/>
      <c r="P364" s="2" t="s">
        <v>1266</v>
      </c>
      <c r="Q364" s="2" t="s">
        <v>1267</v>
      </c>
      <c r="R364" s="2" t="s">
        <v>1268</v>
      </c>
      <c r="S364" s="2" t="s">
        <v>1269</v>
      </c>
      <c r="T364" s="3" t="s">
        <v>2460</v>
      </c>
      <c r="U364" s="3" t="s">
        <v>2454</v>
      </c>
      <c r="V364" s="3" t="s">
        <v>2461</v>
      </c>
      <c r="W364" s="3" t="s">
        <v>2462</v>
      </c>
      <c r="X364" s="2" t="n">
        <v>9</v>
      </c>
      <c r="Y364" s="2" t="n">
        <v>3</v>
      </c>
      <c r="Z364" s="2" t="s">
        <v>47</v>
      </c>
      <c r="AA364" s="3"/>
      <c r="AB364" s="5"/>
      <c r="AC364" s="5"/>
      <c r="AD364" s="3"/>
      <c r="AE364" s="3" t="s">
        <v>2463</v>
      </c>
    </row>
    <row r="365" customFormat="false" ht="60" hidden="false" customHeight="true" outlineLevel="0" collapsed="false">
      <c r="A365" s="2" t="s">
        <v>2464</v>
      </c>
      <c r="B365" s="2" t="n">
        <v>2025</v>
      </c>
      <c r="C365" s="2" t="s">
        <v>160</v>
      </c>
      <c r="D365" s="2" t="s">
        <v>33</v>
      </c>
      <c r="E365" s="2" t="s">
        <v>34</v>
      </c>
      <c r="F365" s="2" t="n">
        <v>1</v>
      </c>
      <c r="G365" s="2" t="s">
        <v>52</v>
      </c>
      <c r="H365" s="2"/>
      <c r="I365" s="2" t="n">
        <v>2</v>
      </c>
      <c r="J365" s="2" t="n">
        <v>0</v>
      </c>
      <c r="K365" s="2" t="s">
        <v>53</v>
      </c>
      <c r="L365" s="2"/>
      <c r="M365" s="2"/>
      <c r="N365" s="2"/>
      <c r="O365" s="3"/>
      <c r="P365" s="2" t="s">
        <v>1266</v>
      </c>
      <c r="Q365" s="2" t="s">
        <v>1267</v>
      </c>
      <c r="R365" s="2" t="s">
        <v>1268</v>
      </c>
      <c r="S365" s="2" t="s">
        <v>2465</v>
      </c>
      <c r="T365" s="3" t="s">
        <v>2466</v>
      </c>
      <c r="U365" s="3" t="s">
        <v>2454</v>
      </c>
      <c r="V365" s="3" t="s">
        <v>2467</v>
      </c>
      <c r="W365" s="3" t="s">
        <v>2468</v>
      </c>
      <c r="X365" s="2" t="n">
        <v>9</v>
      </c>
      <c r="Y365" s="2" t="n">
        <v>3</v>
      </c>
      <c r="Z365" s="2" t="s">
        <v>47</v>
      </c>
      <c r="AA365" s="3"/>
      <c r="AB365" s="5"/>
      <c r="AC365" s="5"/>
      <c r="AD365" s="3"/>
      <c r="AE365" s="3" t="s">
        <v>2469</v>
      </c>
    </row>
    <row r="366" customFormat="false" ht="60" hidden="false" customHeight="true" outlineLevel="0" collapsed="false">
      <c r="A366" s="2" t="s">
        <v>2470</v>
      </c>
      <c r="B366" s="2" t="n">
        <v>2025</v>
      </c>
      <c r="C366" s="2" t="s">
        <v>160</v>
      </c>
      <c r="D366" s="2" t="s">
        <v>33</v>
      </c>
      <c r="E366" s="2" t="s">
        <v>34</v>
      </c>
      <c r="F366" s="2" t="n">
        <v>1</v>
      </c>
      <c r="G366" s="2" t="s">
        <v>63</v>
      </c>
      <c r="H366" s="2"/>
      <c r="I366" s="2" t="n">
        <v>4</v>
      </c>
      <c r="J366" s="2" t="n">
        <v>1</v>
      </c>
      <c r="K366" s="2" t="s">
        <v>86</v>
      </c>
      <c r="L366" s="2"/>
      <c r="M366" s="2"/>
      <c r="N366" s="2"/>
      <c r="O366" s="3"/>
      <c r="P366" s="2" t="s">
        <v>74</v>
      </c>
      <c r="Q366" s="2" t="s">
        <v>75</v>
      </c>
      <c r="R366" s="2" t="s">
        <v>459</v>
      </c>
      <c r="S366" s="2" t="s">
        <v>1878</v>
      </c>
      <c r="T366" s="3" t="s">
        <v>2471</v>
      </c>
      <c r="U366" s="3" t="s">
        <v>2454</v>
      </c>
      <c r="V366" s="3" t="s">
        <v>2472</v>
      </c>
      <c r="W366" s="3" t="s">
        <v>2473</v>
      </c>
      <c r="X366" s="2" t="n">
        <v>10</v>
      </c>
      <c r="Y366" s="2" t="n">
        <v>3</v>
      </c>
      <c r="Z366" s="2" t="s">
        <v>47</v>
      </c>
      <c r="AA366" s="3"/>
      <c r="AB366" s="5"/>
      <c r="AC366" s="5"/>
      <c r="AD366" s="3"/>
      <c r="AE366" s="3" t="s">
        <v>2474</v>
      </c>
    </row>
    <row r="367" customFormat="false" ht="60" hidden="false" customHeight="true" outlineLevel="0" collapsed="false">
      <c r="A367" s="2" t="s">
        <v>2475</v>
      </c>
      <c r="B367" s="2" t="n">
        <v>2025</v>
      </c>
      <c r="C367" s="2" t="s">
        <v>160</v>
      </c>
      <c r="D367" s="2" t="s">
        <v>33</v>
      </c>
      <c r="E367" s="2" t="s">
        <v>34</v>
      </c>
      <c r="F367" s="2" t="n">
        <v>1</v>
      </c>
      <c r="G367" s="2" t="s">
        <v>72</v>
      </c>
      <c r="H367" s="2"/>
      <c r="I367" s="2" t="n">
        <v>6</v>
      </c>
      <c r="J367" s="2" t="n">
        <v>2</v>
      </c>
      <c r="K367" s="2" t="s">
        <v>813</v>
      </c>
      <c r="L367" s="2"/>
      <c r="M367" s="2"/>
      <c r="N367" s="2"/>
      <c r="O367" s="3" t="s">
        <v>232</v>
      </c>
      <c r="P367" s="2" t="s">
        <v>193</v>
      </c>
      <c r="Q367" s="2" t="s">
        <v>194</v>
      </c>
      <c r="R367" s="2" t="s">
        <v>2476</v>
      </c>
      <c r="S367" s="2" t="s">
        <v>2477</v>
      </c>
      <c r="T367" s="3" t="s">
        <v>2478</v>
      </c>
      <c r="U367" s="3" t="s">
        <v>2454</v>
      </c>
      <c r="V367" s="3" t="s">
        <v>2479</v>
      </c>
      <c r="W367" s="3" t="s">
        <v>2480</v>
      </c>
      <c r="X367" s="2" t="n">
        <v>10</v>
      </c>
      <c r="Y367" s="2" t="n">
        <v>3</v>
      </c>
      <c r="Z367" s="2" t="s">
        <v>47</v>
      </c>
      <c r="AA367" s="3"/>
      <c r="AB367" s="5"/>
      <c r="AC367" s="5"/>
      <c r="AD367" s="3"/>
      <c r="AE367" s="3" t="s">
        <v>2481</v>
      </c>
    </row>
    <row r="368" customFormat="false" ht="60" hidden="false" customHeight="true" outlineLevel="0" collapsed="false">
      <c r="A368" s="2" t="s">
        <v>2482</v>
      </c>
      <c r="B368" s="2" t="n">
        <v>2025</v>
      </c>
      <c r="C368" s="2" t="s">
        <v>160</v>
      </c>
      <c r="D368" s="2" t="s">
        <v>33</v>
      </c>
      <c r="E368" s="2" t="s">
        <v>34</v>
      </c>
      <c r="F368" s="2" t="n">
        <v>1</v>
      </c>
      <c r="G368" s="2" t="s">
        <v>84</v>
      </c>
      <c r="H368" s="2"/>
      <c r="I368" s="2" t="n">
        <v>6</v>
      </c>
      <c r="J368" s="2" t="n">
        <v>2</v>
      </c>
      <c r="K368" s="2" t="s">
        <v>813</v>
      </c>
      <c r="L368" s="2"/>
      <c r="M368" s="2"/>
      <c r="N368" s="2"/>
      <c r="O368" s="3" t="s">
        <v>232</v>
      </c>
      <c r="P368" s="2" t="s">
        <v>1214</v>
      </c>
      <c r="Q368" s="2" t="s">
        <v>1215</v>
      </c>
      <c r="R368" s="2" t="s">
        <v>2483</v>
      </c>
      <c r="S368" s="2" t="s">
        <v>2484</v>
      </c>
      <c r="T368" s="3" t="s">
        <v>2485</v>
      </c>
      <c r="U368" s="3" t="s">
        <v>2454</v>
      </c>
      <c r="V368" s="3" t="s">
        <v>2486</v>
      </c>
      <c r="W368" s="3" t="s">
        <v>2487</v>
      </c>
      <c r="X368" s="2" t="n">
        <v>11</v>
      </c>
      <c r="Y368" s="2" t="n">
        <v>3</v>
      </c>
      <c r="Z368" s="2" t="s">
        <v>47</v>
      </c>
      <c r="AA368" s="3"/>
      <c r="AB368" s="5"/>
      <c r="AC368" s="5"/>
      <c r="AD368" s="3"/>
      <c r="AE368" s="3" t="s">
        <v>2488</v>
      </c>
    </row>
    <row r="369" customFormat="false" ht="60" hidden="false" customHeight="true" outlineLevel="0" collapsed="false">
      <c r="A369" s="2" t="s">
        <v>2489</v>
      </c>
      <c r="B369" s="2" t="n">
        <v>2025</v>
      </c>
      <c r="C369" s="2" t="s">
        <v>160</v>
      </c>
      <c r="D369" s="2" t="s">
        <v>33</v>
      </c>
      <c r="E369" s="2" t="s">
        <v>104</v>
      </c>
      <c r="F369" s="2" t="n">
        <v>2</v>
      </c>
      <c r="G369" s="2" t="s">
        <v>35</v>
      </c>
      <c r="H369" s="2" t="s">
        <v>1199</v>
      </c>
      <c r="I369" s="2" t="n">
        <v>8</v>
      </c>
      <c r="J369" s="2" t="n">
        <v>2</v>
      </c>
      <c r="K369" s="2" t="s">
        <v>64</v>
      </c>
      <c r="L369" s="2" t="s">
        <v>86</v>
      </c>
      <c r="M369" s="2"/>
      <c r="N369" s="2"/>
      <c r="O369" s="3"/>
      <c r="P369" s="2" t="s">
        <v>209</v>
      </c>
      <c r="Q369" s="2" t="s">
        <v>210</v>
      </c>
      <c r="R369" s="2" t="s">
        <v>211</v>
      </c>
      <c r="S369" s="2" t="s">
        <v>212</v>
      </c>
      <c r="T369" s="3" t="s">
        <v>2490</v>
      </c>
      <c r="U369" s="3"/>
      <c r="V369" s="3" t="s">
        <v>2491</v>
      </c>
      <c r="W369" s="3" t="s">
        <v>2492</v>
      </c>
      <c r="X369" s="2" t="n">
        <v>12</v>
      </c>
      <c r="Y369" s="2" t="n">
        <v>4</v>
      </c>
      <c r="Z369" s="2" t="s">
        <v>47</v>
      </c>
      <c r="AA369" s="3"/>
      <c r="AB369" s="5"/>
      <c r="AC369" s="5"/>
      <c r="AD369" s="3" t="s">
        <v>2493</v>
      </c>
      <c r="AE369" s="3" t="s">
        <v>2494</v>
      </c>
    </row>
    <row r="370" customFormat="false" ht="60" hidden="false" customHeight="true" outlineLevel="0" collapsed="false">
      <c r="A370" s="2" t="s">
        <v>2495</v>
      </c>
      <c r="B370" s="2" t="n">
        <v>2025</v>
      </c>
      <c r="C370" s="2" t="s">
        <v>160</v>
      </c>
      <c r="D370" s="2" t="s">
        <v>33</v>
      </c>
      <c r="E370" s="2" t="s">
        <v>104</v>
      </c>
      <c r="F370" s="2" t="n">
        <v>2</v>
      </c>
      <c r="G370" s="2" t="s">
        <v>52</v>
      </c>
      <c r="H370" s="2" t="s">
        <v>1199</v>
      </c>
      <c r="I370" s="2" t="n">
        <v>12</v>
      </c>
      <c r="J370" s="2" t="n">
        <v>4</v>
      </c>
      <c r="K370" s="2" t="s">
        <v>813</v>
      </c>
      <c r="L370" s="2"/>
      <c r="M370" s="2"/>
      <c r="N370" s="2"/>
      <c r="O370" s="3" t="s">
        <v>232</v>
      </c>
      <c r="P370" s="2" t="s">
        <v>1493</v>
      </c>
      <c r="Q370" s="2" t="s">
        <v>1494</v>
      </c>
      <c r="R370" s="2" t="s">
        <v>2496</v>
      </c>
      <c r="S370" s="2" t="s">
        <v>2497</v>
      </c>
      <c r="T370" s="3" t="s">
        <v>2498</v>
      </c>
      <c r="U370" s="3"/>
      <c r="V370" s="3" t="s">
        <v>2499</v>
      </c>
      <c r="W370" s="3" t="s">
        <v>2500</v>
      </c>
      <c r="X370" s="2" t="n">
        <v>13</v>
      </c>
      <c r="Y370" s="2" t="n">
        <v>4</v>
      </c>
      <c r="Z370" s="2" t="s">
        <v>47</v>
      </c>
      <c r="AA370" s="3"/>
      <c r="AB370" s="5"/>
      <c r="AC370" s="5"/>
      <c r="AD370" s="3"/>
      <c r="AE370" s="3" t="s">
        <v>2501</v>
      </c>
    </row>
    <row r="371" customFormat="false" ht="60" hidden="false" customHeight="true" outlineLevel="0" collapsed="false">
      <c r="A371" s="2" t="s">
        <v>2502</v>
      </c>
      <c r="B371" s="2" t="n">
        <v>2025</v>
      </c>
      <c r="C371" s="2" t="s">
        <v>160</v>
      </c>
      <c r="D371" s="2" t="s">
        <v>33</v>
      </c>
      <c r="E371" s="2" t="s">
        <v>104</v>
      </c>
      <c r="F371" s="2" t="n">
        <v>3</v>
      </c>
      <c r="G371" s="2" t="s">
        <v>35</v>
      </c>
      <c r="H371" s="2" t="s">
        <v>1199</v>
      </c>
      <c r="I371" s="2" t="n">
        <v>8</v>
      </c>
      <c r="J371" s="2" t="n">
        <v>2</v>
      </c>
      <c r="K371" s="2" t="s">
        <v>64</v>
      </c>
      <c r="L371" s="2" t="s">
        <v>86</v>
      </c>
      <c r="M371" s="2"/>
      <c r="N371" s="2"/>
      <c r="O371" s="3" t="s">
        <v>232</v>
      </c>
      <c r="P371" s="2" t="s">
        <v>185</v>
      </c>
      <c r="Q371" s="2" t="s">
        <v>186</v>
      </c>
      <c r="R371" s="2" t="s">
        <v>2503</v>
      </c>
      <c r="S371" s="2" t="s">
        <v>2504</v>
      </c>
      <c r="T371" s="3" t="s">
        <v>2505</v>
      </c>
      <c r="U371" s="3"/>
      <c r="V371" s="3" t="s">
        <v>2506</v>
      </c>
      <c r="W371" s="3" t="s">
        <v>2507</v>
      </c>
      <c r="X371" s="2" t="n">
        <v>15</v>
      </c>
      <c r="Y371" s="2" t="n">
        <v>4</v>
      </c>
      <c r="Z371" s="2" t="s">
        <v>47</v>
      </c>
      <c r="AA371" s="3"/>
      <c r="AB371" s="5"/>
      <c r="AC371" s="5"/>
      <c r="AD371" s="3"/>
      <c r="AE371" s="3" t="s">
        <v>2508</v>
      </c>
    </row>
    <row r="372" customFormat="false" ht="60" hidden="false" customHeight="true" outlineLevel="0" collapsed="false">
      <c r="A372" s="2" t="s">
        <v>2509</v>
      </c>
      <c r="B372" s="2" t="n">
        <v>2025</v>
      </c>
      <c r="C372" s="2" t="s">
        <v>160</v>
      </c>
      <c r="D372" s="2" t="s">
        <v>33</v>
      </c>
      <c r="E372" s="2" t="s">
        <v>104</v>
      </c>
      <c r="F372" s="2" t="n">
        <v>3</v>
      </c>
      <c r="G372" s="2" t="s">
        <v>52</v>
      </c>
      <c r="H372" s="2" t="s">
        <v>1199</v>
      </c>
      <c r="I372" s="2" t="n">
        <v>12</v>
      </c>
      <c r="J372" s="2" t="n">
        <v>4</v>
      </c>
      <c r="K372" s="2" t="s">
        <v>813</v>
      </c>
      <c r="L372" s="2"/>
      <c r="M372" s="2"/>
      <c r="N372" s="2"/>
      <c r="O372" s="3" t="s">
        <v>232</v>
      </c>
      <c r="P372" s="2" t="s">
        <v>694</v>
      </c>
      <c r="Q372" s="2" t="s">
        <v>695</v>
      </c>
      <c r="R372" s="2" t="s">
        <v>1648</v>
      </c>
      <c r="S372" s="2" t="s">
        <v>1649</v>
      </c>
      <c r="T372" s="3" t="s">
        <v>2510</v>
      </c>
      <c r="U372" s="3"/>
      <c r="V372" s="3" t="s">
        <v>2511</v>
      </c>
      <c r="W372" s="3" t="s">
        <v>2512</v>
      </c>
      <c r="X372" s="2" t="n">
        <v>17</v>
      </c>
      <c r="Y372" s="2" t="n">
        <v>4</v>
      </c>
      <c r="Z372" s="2" t="s">
        <v>47</v>
      </c>
      <c r="AA372" s="3"/>
      <c r="AB372" s="5"/>
      <c r="AC372" s="5"/>
      <c r="AD372" s="3" t="s">
        <v>2513</v>
      </c>
      <c r="AE372" s="3" t="s">
        <v>2514</v>
      </c>
    </row>
    <row r="373" customFormat="false" ht="60" hidden="false" customHeight="true" outlineLevel="0" collapsed="false">
      <c r="A373" s="2" t="s">
        <v>2515</v>
      </c>
      <c r="B373" s="2" t="n">
        <v>2025</v>
      </c>
      <c r="C373" s="2" t="s">
        <v>160</v>
      </c>
      <c r="D373" s="2" t="s">
        <v>33</v>
      </c>
      <c r="E373" s="2" t="s">
        <v>1230</v>
      </c>
      <c r="F373" s="2" t="n">
        <v>4</v>
      </c>
      <c r="G373" s="2" t="s">
        <v>35</v>
      </c>
      <c r="H373" s="2" t="s">
        <v>1231</v>
      </c>
      <c r="I373" s="2" t="n">
        <v>8</v>
      </c>
      <c r="J373" s="2" t="n">
        <v>2</v>
      </c>
      <c r="K373" s="2" t="s">
        <v>64</v>
      </c>
      <c r="L373" s="2" t="s">
        <v>86</v>
      </c>
      <c r="M373" s="2" t="s">
        <v>37</v>
      </c>
      <c r="N373" s="2"/>
      <c r="O373" s="3" t="s">
        <v>676</v>
      </c>
      <c r="P373" s="2" t="s">
        <v>39</v>
      </c>
      <c r="Q373" s="2" t="s">
        <v>40</v>
      </c>
      <c r="R373" s="2" t="s">
        <v>301</v>
      </c>
      <c r="S373" s="2" t="s">
        <v>302</v>
      </c>
      <c r="T373" s="3" t="s">
        <v>2516</v>
      </c>
      <c r="U373" s="3"/>
      <c r="V373" s="3" t="s">
        <v>2517</v>
      </c>
      <c r="W373" s="3" t="s">
        <v>2518</v>
      </c>
      <c r="X373" s="2" t="n">
        <v>18</v>
      </c>
      <c r="Y373" s="2" t="n">
        <v>4</v>
      </c>
      <c r="Z373" s="2" t="s">
        <v>47</v>
      </c>
      <c r="AA373" s="3"/>
      <c r="AB373" s="5"/>
      <c r="AC373" s="5"/>
      <c r="AD373" s="3" t="s">
        <v>2519</v>
      </c>
      <c r="AE373" s="3" t="s">
        <v>2520</v>
      </c>
    </row>
    <row r="374" customFormat="false" ht="60" hidden="false" customHeight="true" outlineLevel="0" collapsed="false">
      <c r="A374" s="2" t="s">
        <v>2521</v>
      </c>
      <c r="B374" s="2" t="n">
        <v>2025</v>
      </c>
      <c r="C374" s="2" t="s">
        <v>160</v>
      </c>
      <c r="D374" s="2" t="s">
        <v>33</v>
      </c>
      <c r="E374" s="2" t="s">
        <v>1230</v>
      </c>
      <c r="F374" s="2" t="n">
        <v>4</v>
      </c>
      <c r="G374" s="2" t="s">
        <v>52</v>
      </c>
      <c r="H374" s="2" t="s">
        <v>1231</v>
      </c>
      <c r="I374" s="2" t="n">
        <v>12</v>
      </c>
      <c r="J374" s="2" t="n">
        <v>4</v>
      </c>
      <c r="K374" s="2" t="s">
        <v>813</v>
      </c>
      <c r="L374" s="2"/>
      <c r="M374" s="2"/>
      <c r="N374" s="2"/>
      <c r="O374" s="3" t="s">
        <v>2438</v>
      </c>
      <c r="P374" s="2" t="s">
        <v>54</v>
      </c>
      <c r="Q374" s="2" t="s">
        <v>55</v>
      </c>
      <c r="R374" s="2" t="s">
        <v>2522</v>
      </c>
      <c r="S374" s="2" t="s">
        <v>2523</v>
      </c>
      <c r="T374" s="3" t="s">
        <v>2524</v>
      </c>
      <c r="U374" s="3"/>
      <c r="V374" s="3" t="s">
        <v>2525</v>
      </c>
      <c r="W374" s="3" t="s">
        <v>2526</v>
      </c>
      <c r="X374" s="2" t="n">
        <v>19</v>
      </c>
      <c r="Y374" s="2" t="n">
        <v>4</v>
      </c>
      <c r="Z374" s="2" t="s">
        <v>47</v>
      </c>
      <c r="AA374" s="3"/>
      <c r="AB374" s="5"/>
      <c r="AC374" s="5"/>
      <c r="AD374" s="3"/>
      <c r="AE374" s="3" t="s">
        <v>2527</v>
      </c>
    </row>
    <row r="375" customFormat="false" ht="60" hidden="false" customHeight="true" outlineLevel="0" collapsed="false">
      <c r="A375" s="2" t="s">
        <v>2528</v>
      </c>
      <c r="B375" s="2" t="n">
        <v>2025</v>
      </c>
      <c r="C375" s="2" t="s">
        <v>160</v>
      </c>
      <c r="D375" s="2" t="s">
        <v>33</v>
      </c>
      <c r="E375" s="2" t="s">
        <v>1230</v>
      </c>
      <c r="F375" s="2" t="n">
        <v>5</v>
      </c>
      <c r="G375" s="2" t="s">
        <v>35</v>
      </c>
      <c r="H375" s="2" t="s">
        <v>1231</v>
      </c>
      <c r="I375" s="2" t="n">
        <v>8</v>
      </c>
      <c r="J375" s="2" t="n">
        <v>2</v>
      </c>
      <c r="K375" s="2" t="s">
        <v>64</v>
      </c>
      <c r="L375" s="2" t="s">
        <v>86</v>
      </c>
      <c r="M375" s="2" t="s">
        <v>37</v>
      </c>
      <c r="N375" s="2"/>
      <c r="O375" s="3" t="s">
        <v>1402</v>
      </c>
      <c r="P375" s="2" t="s">
        <v>74</v>
      </c>
      <c r="Q375" s="2" t="s">
        <v>75</v>
      </c>
      <c r="R375" s="2" t="s">
        <v>459</v>
      </c>
      <c r="S375" s="2" t="s">
        <v>2529</v>
      </c>
      <c r="T375" s="3" t="s">
        <v>2530</v>
      </c>
      <c r="U375" s="3"/>
      <c r="V375" s="3" t="s">
        <v>2531</v>
      </c>
      <c r="W375" s="3" t="s">
        <v>2532</v>
      </c>
      <c r="X375" s="2" t="n">
        <v>20</v>
      </c>
      <c r="Y375" s="2" t="n">
        <v>4</v>
      </c>
      <c r="Z375" s="2" t="s">
        <v>47</v>
      </c>
      <c r="AA375" s="3"/>
      <c r="AB375" s="5"/>
      <c r="AC375" s="5"/>
      <c r="AD375" s="3"/>
      <c r="AE375" s="3" t="s">
        <v>2533</v>
      </c>
    </row>
    <row r="376" customFormat="false" ht="60" hidden="false" customHeight="true" outlineLevel="0" collapsed="false">
      <c r="A376" s="2" t="s">
        <v>2534</v>
      </c>
      <c r="B376" s="2" t="n">
        <v>2025</v>
      </c>
      <c r="C376" s="2" t="s">
        <v>160</v>
      </c>
      <c r="D376" s="2" t="s">
        <v>33</v>
      </c>
      <c r="E376" s="2" t="s">
        <v>1230</v>
      </c>
      <c r="F376" s="2" t="n">
        <v>5</v>
      </c>
      <c r="G376" s="2" t="s">
        <v>52</v>
      </c>
      <c r="H376" s="2" t="s">
        <v>1231</v>
      </c>
      <c r="I376" s="2" t="n">
        <v>12</v>
      </c>
      <c r="J376" s="2" t="n">
        <v>4</v>
      </c>
      <c r="K376" s="2" t="s">
        <v>813</v>
      </c>
      <c r="L376" s="2"/>
      <c r="M376" s="2"/>
      <c r="N376" s="2"/>
      <c r="O376" s="3" t="s">
        <v>308</v>
      </c>
      <c r="P376" s="2" t="s">
        <v>193</v>
      </c>
      <c r="Q376" s="2" t="s">
        <v>194</v>
      </c>
      <c r="R376" s="2" t="s">
        <v>195</v>
      </c>
      <c r="S376" s="2" t="s">
        <v>1675</v>
      </c>
      <c r="T376" s="3" t="s">
        <v>2535</v>
      </c>
      <c r="U376" s="3"/>
      <c r="V376" s="3" t="s">
        <v>2536</v>
      </c>
      <c r="W376" s="3" t="s">
        <v>2537</v>
      </c>
      <c r="X376" s="2" t="n">
        <v>21</v>
      </c>
      <c r="Y376" s="2" t="n">
        <v>4</v>
      </c>
      <c r="Z376" s="2" t="s">
        <v>47</v>
      </c>
      <c r="AA376" s="3"/>
      <c r="AB376" s="5"/>
      <c r="AC376" s="5"/>
      <c r="AD376" s="3"/>
      <c r="AE376" s="3" t="s">
        <v>2538</v>
      </c>
    </row>
    <row r="377" customFormat="false" ht="60" hidden="false" customHeight="true" outlineLevel="0" collapsed="false">
      <c r="A377" s="2" t="s">
        <v>2539</v>
      </c>
      <c r="B377" s="2" t="n">
        <v>2025</v>
      </c>
      <c r="C377" s="2" t="s">
        <v>160</v>
      </c>
      <c r="D377" s="2" t="s">
        <v>316</v>
      </c>
      <c r="E377" s="2" t="s">
        <v>34</v>
      </c>
      <c r="F377" s="2" t="n">
        <v>1</v>
      </c>
      <c r="G377" s="2" t="s">
        <v>35</v>
      </c>
      <c r="H377" s="2"/>
      <c r="I377" s="2" t="n">
        <v>2</v>
      </c>
      <c r="J377" s="2" t="n">
        <v>0</v>
      </c>
      <c r="K377" s="2" t="s">
        <v>1361</v>
      </c>
      <c r="L377" s="2"/>
      <c r="M377" s="2" t="s">
        <v>37</v>
      </c>
      <c r="N377" s="2"/>
      <c r="O377" s="3" t="s">
        <v>73</v>
      </c>
      <c r="P377" s="2" t="s">
        <v>142</v>
      </c>
      <c r="Q377" s="2" t="s">
        <v>143</v>
      </c>
      <c r="R377" s="2" t="s">
        <v>144</v>
      </c>
      <c r="S377" s="2" t="s">
        <v>1028</v>
      </c>
      <c r="T377" s="3" t="s">
        <v>2540</v>
      </c>
      <c r="U377" s="3" t="s">
        <v>2541</v>
      </c>
      <c r="V377" s="3" t="s">
        <v>2542</v>
      </c>
      <c r="W377" s="3" t="s">
        <v>2543</v>
      </c>
      <c r="X377" s="2" t="n">
        <v>9</v>
      </c>
      <c r="Y377" s="2" t="n">
        <v>3</v>
      </c>
      <c r="Z377" s="2" t="s">
        <v>47</v>
      </c>
      <c r="AA377" s="4" t="s">
        <v>81</v>
      </c>
      <c r="AB377" s="5"/>
      <c r="AC377" s="5"/>
      <c r="AD377" s="3"/>
      <c r="AE377" s="3" t="s">
        <v>2544</v>
      </c>
    </row>
    <row r="378" customFormat="false" ht="60" hidden="false" customHeight="true" outlineLevel="0" collapsed="false">
      <c r="A378" s="2" t="s">
        <v>2545</v>
      </c>
      <c r="B378" s="2" t="n">
        <v>2025</v>
      </c>
      <c r="C378" s="2" t="s">
        <v>160</v>
      </c>
      <c r="D378" s="2" t="s">
        <v>316</v>
      </c>
      <c r="E378" s="2" t="s">
        <v>34</v>
      </c>
      <c r="F378" s="2" t="n">
        <v>1</v>
      </c>
      <c r="G378" s="2" t="s">
        <v>52</v>
      </c>
      <c r="H378" s="2"/>
      <c r="I378" s="2" t="n">
        <v>2</v>
      </c>
      <c r="J378" s="2" t="n">
        <v>0</v>
      </c>
      <c r="K378" s="2" t="s">
        <v>1703</v>
      </c>
      <c r="L378" s="2"/>
      <c r="M378" s="2"/>
      <c r="N378" s="2"/>
      <c r="O378" s="3"/>
      <c r="P378" s="2" t="s">
        <v>694</v>
      </c>
      <c r="Q378" s="2" t="s">
        <v>695</v>
      </c>
      <c r="R378" s="2" t="s">
        <v>696</v>
      </c>
      <c r="S378" s="2" t="s">
        <v>886</v>
      </c>
      <c r="T378" s="3" t="s">
        <v>2546</v>
      </c>
      <c r="U378" s="3" t="s">
        <v>2541</v>
      </c>
      <c r="V378" s="3" t="s">
        <v>2547</v>
      </c>
      <c r="W378" s="3" t="s">
        <v>2548</v>
      </c>
      <c r="X378" s="2" t="n">
        <v>9</v>
      </c>
      <c r="Y378" s="2" t="n">
        <v>3</v>
      </c>
      <c r="Z378" s="2" t="s">
        <v>47</v>
      </c>
      <c r="AA378" s="4" t="s">
        <v>69</v>
      </c>
      <c r="AB378" s="5"/>
      <c r="AC378" s="5"/>
      <c r="AD378" s="3" t="s">
        <v>2549</v>
      </c>
      <c r="AE378" s="3" t="s">
        <v>2550</v>
      </c>
    </row>
    <row r="379" customFormat="false" ht="60" hidden="false" customHeight="true" outlineLevel="0" collapsed="false">
      <c r="A379" s="2" t="s">
        <v>2551</v>
      </c>
      <c r="B379" s="2" t="n">
        <v>2025</v>
      </c>
      <c r="C379" s="2" t="s">
        <v>160</v>
      </c>
      <c r="D379" s="2" t="s">
        <v>316</v>
      </c>
      <c r="E379" s="2" t="s">
        <v>34</v>
      </c>
      <c r="F379" s="2" t="n">
        <v>1</v>
      </c>
      <c r="G379" s="2" t="s">
        <v>63</v>
      </c>
      <c r="H379" s="2"/>
      <c r="I379" s="2" t="n">
        <v>4</v>
      </c>
      <c r="J379" s="2" t="n">
        <v>1</v>
      </c>
      <c r="K379" s="2" t="s">
        <v>86</v>
      </c>
      <c r="L379" s="2"/>
      <c r="M379" s="2" t="s">
        <v>37</v>
      </c>
      <c r="N379" s="2"/>
      <c r="O379" s="3" t="s">
        <v>73</v>
      </c>
      <c r="P379" s="2" t="s">
        <v>106</v>
      </c>
      <c r="Q379" s="2" t="s">
        <v>107</v>
      </c>
      <c r="R379" s="2" t="s">
        <v>519</v>
      </c>
      <c r="S379" s="2" t="s">
        <v>520</v>
      </c>
      <c r="T379" s="3" t="s">
        <v>521</v>
      </c>
      <c r="U379" s="3" t="s">
        <v>2541</v>
      </c>
      <c r="V379" s="3" t="s">
        <v>2552</v>
      </c>
      <c r="W379" s="3" t="s">
        <v>2553</v>
      </c>
      <c r="X379" s="2" t="n">
        <v>9</v>
      </c>
      <c r="Y379" s="2" t="n">
        <v>3</v>
      </c>
      <c r="Z379" s="2" t="s">
        <v>47</v>
      </c>
      <c r="AA379" s="4" t="s">
        <v>69</v>
      </c>
      <c r="AB379" s="5"/>
      <c r="AC379" s="5"/>
      <c r="AD379" s="3" t="s">
        <v>2554</v>
      </c>
      <c r="AE379" s="3" t="s">
        <v>2555</v>
      </c>
    </row>
    <row r="380" customFormat="false" ht="60" hidden="false" customHeight="true" outlineLevel="0" collapsed="false">
      <c r="A380" s="2" t="s">
        <v>2556</v>
      </c>
      <c r="B380" s="2" t="n">
        <v>2025</v>
      </c>
      <c r="C380" s="2" t="s">
        <v>160</v>
      </c>
      <c r="D380" s="2" t="s">
        <v>316</v>
      </c>
      <c r="E380" s="2" t="s">
        <v>34</v>
      </c>
      <c r="F380" s="2" t="n">
        <v>1</v>
      </c>
      <c r="G380" s="2" t="s">
        <v>72</v>
      </c>
      <c r="H380" s="2"/>
      <c r="I380" s="2" t="n">
        <v>6</v>
      </c>
      <c r="J380" s="2" t="n">
        <v>2</v>
      </c>
      <c r="K380" s="2" t="s">
        <v>813</v>
      </c>
      <c r="L380" s="2"/>
      <c r="M380" s="2"/>
      <c r="N380" s="2"/>
      <c r="O380" s="3" t="s">
        <v>308</v>
      </c>
      <c r="P380" s="2" t="s">
        <v>151</v>
      </c>
      <c r="Q380" s="2" t="s">
        <v>152</v>
      </c>
      <c r="R380" s="2" t="s">
        <v>153</v>
      </c>
      <c r="S380" s="2" t="s">
        <v>2557</v>
      </c>
      <c r="T380" s="3" t="s">
        <v>2558</v>
      </c>
      <c r="U380" s="3" t="s">
        <v>2541</v>
      </c>
      <c r="V380" s="3" t="s">
        <v>2559</v>
      </c>
      <c r="W380" s="3" t="s">
        <v>2560</v>
      </c>
      <c r="X380" s="2" t="n">
        <v>10</v>
      </c>
      <c r="Y380" s="2" t="n">
        <v>3</v>
      </c>
      <c r="Z380" s="2" t="s">
        <v>47</v>
      </c>
      <c r="AA380" s="4" t="s">
        <v>81</v>
      </c>
      <c r="AB380" s="5"/>
      <c r="AC380" s="5"/>
      <c r="AD380" s="3"/>
      <c r="AE380" s="3" t="s">
        <v>2561</v>
      </c>
    </row>
    <row r="381" customFormat="false" ht="60" hidden="false" customHeight="true" outlineLevel="0" collapsed="false">
      <c r="A381" s="2" t="s">
        <v>2562</v>
      </c>
      <c r="B381" s="2" t="n">
        <v>2025</v>
      </c>
      <c r="C381" s="2" t="s">
        <v>160</v>
      </c>
      <c r="D381" s="2" t="s">
        <v>316</v>
      </c>
      <c r="E381" s="2" t="s">
        <v>34</v>
      </c>
      <c r="F381" s="2" t="n">
        <v>1</v>
      </c>
      <c r="G381" s="2" t="s">
        <v>84</v>
      </c>
      <c r="H381" s="2"/>
      <c r="I381" s="2" t="n">
        <v>6</v>
      </c>
      <c r="J381" s="2" t="n">
        <v>2</v>
      </c>
      <c r="K381" s="2" t="s">
        <v>813</v>
      </c>
      <c r="L381" s="2"/>
      <c r="M381" s="2"/>
      <c r="N381" s="2"/>
      <c r="O381" s="3" t="s">
        <v>232</v>
      </c>
      <c r="P381" s="2" t="s">
        <v>124</v>
      </c>
      <c r="Q381" s="2" t="s">
        <v>125</v>
      </c>
      <c r="R381" s="2" t="s">
        <v>1971</v>
      </c>
      <c r="S381" s="2" t="s">
        <v>2563</v>
      </c>
      <c r="T381" s="3" t="s">
        <v>2564</v>
      </c>
      <c r="U381" s="3" t="s">
        <v>2541</v>
      </c>
      <c r="V381" s="3" t="s">
        <v>2565</v>
      </c>
      <c r="W381" s="3" t="s">
        <v>2566</v>
      </c>
      <c r="X381" s="2" t="n">
        <v>12</v>
      </c>
      <c r="Y381" s="2" t="n">
        <v>3</v>
      </c>
      <c r="Z381" s="2" t="s">
        <v>47</v>
      </c>
      <c r="AA381" s="4" t="s">
        <v>69</v>
      </c>
      <c r="AB381" s="5"/>
      <c r="AC381" s="5"/>
      <c r="AD381" s="3"/>
      <c r="AE381" s="3" t="s">
        <v>2567</v>
      </c>
    </row>
    <row r="382" customFormat="false" ht="60" hidden="false" customHeight="true" outlineLevel="0" collapsed="false">
      <c r="A382" s="2" t="s">
        <v>2568</v>
      </c>
      <c r="B382" s="2" t="n">
        <v>2025</v>
      </c>
      <c r="C382" s="2" t="s">
        <v>160</v>
      </c>
      <c r="D382" s="2" t="s">
        <v>316</v>
      </c>
      <c r="E382" s="2" t="s">
        <v>104</v>
      </c>
      <c r="F382" s="2" t="n">
        <v>2</v>
      </c>
      <c r="G382" s="2" t="s">
        <v>35</v>
      </c>
      <c r="H382" s="2" t="s">
        <v>1199</v>
      </c>
      <c r="I382" s="2" t="n">
        <v>8</v>
      </c>
      <c r="J382" s="2" t="n">
        <v>2</v>
      </c>
      <c r="K382" s="2" t="s">
        <v>64</v>
      </c>
      <c r="L382" s="2" t="s">
        <v>86</v>
      </c>
      <c r="M382" s="2"/>
      <c r="N382" s="2"/>
      <c r="O382" s="3"/>
      <c r="P382" s="2" t="s">
        <v>694</v>
      </c>
      <c r="Q382" s="2" t="s">
        <v>695</v>
      </c>
      <c r="R382" s="2" t="s">
        <v>2569</v>
      </c>
      <c r="S382" s="2" t="s">
        <v>2570</v>
      </c>
      <c r="T382" s="3" t="s">
        <v>2571</v>
      </c>
      <c r="U382" s="3"/>
      <c r="V382" s="3" t="s">
        <v>2572</v>
      </c>
      <c r="W382" s="3" t="s">
        <v>2573</v>
      </c>
      <c r="X382" s="2" t="n">
        <v>13</v>
      </c>
      <c r="Y382" s="2" t="n">
        <v>3</v>
      </c>
      <c r="Z382" s="2" t="s">
        <v>47</v>
      </c>
      <c r="AA382" s="3"/>
      <c r="AB382" s="5"/>
      <c r="AC382" s="5"/>
      <c r="AD382" s="3"/>
      <c r="AE382" s="3" t="s">
        <v>2574</v>
      </c>
    </row>
    <row r="383" customFormat="false" ht="60" hidden="false" customHeight="true" outlineLevel="0" collapsed="false">
      <c r="A383" s="2" t="s">
        <v>2575</v>
      </c>
      <c r="B383" s="2" t="n">
        <v>2025</v>
      </c>
      <c r="C383" s="2" t="s">
        <v>160</v>
      </c>
      <c r="D383" s="2" t="s">
        <v>316</v>
      </c>
      <c r="E383" s="2" t="s">
        <v>104</v>
      </c>
      <c r="F383" s="2" t="n">
        <v>2</v>
      </c>
      <c r="G383" s="2" t="s">
        <v>52</v>
      </c>
      <c r="H383" s="2" t="s">
        <v>1199</v>
      </c>
      <c r="I383" s="2" t="n">
        <v>12</v>
      </c>
      <c r="J383" s="2" t="n">
        <v>4</v>
      </c>
      <c r="K383" s="2" t="s">
        <v>813</v>
      </c>
      <c r="L383" s="2"/>
      <c r="M383" s="2"/>
      <c r="N383" s="2"/>
      <c r="O383" s="3"/>
      <c r="P383" s="2" t="s">
        <v>142</v>
      </c>
      <c r="Q383" s="2" t="s">
        <v>143</v>
      </c>
      <c r="R383" s="2" t="s">
        <v>2576</v>
      </c>
      <c r="S383" s="2" t="s">
        <v>2577</v>
      </c>
      <c r="T383" s="3" t="s">
        <v>2578</v>
      </c>
      <c r="U383" s="3"/>
      <c r="V383" s="3" t="s">
        <v>2579</v>
      </c>
      <c r="W383" s="3" t="s">
        <v>2580</v>
      </c>
      <c r="X383" s="2" t="n">
        <v>14</v>
      </c>
      <c r="Y383" s="2" t="n">
        <v>3</v>
      </c>
      <c r="Z383" s="2" t="s">
        <v>47</v>
      </c>
      <c r="AA383" s="3"/>
      <c r="AB383" s="5"/>
      <c r="AC383" s="5"/>
      <c r="AD383" s="3"/>
      <c r="AE383" s="3" t="s">
        <v>2581</v>
      </c>
    </row>
    <row r="384" customFormat="false" ht="60" hidden="false" customHeight="true" outlineLevel="0" collapsed="false">
      <c r="A384" s="2" t="s">
        <v>2582</v>
      </c>
      <c r="B384" s="2" t="n">
        <v>2025</v>
      </c>
      <c r="C384" s="2" t="s">
        <v>160</v>
      </c>
      <c r="D384" s="2" t="s">
        <v>316</v>
      </c>
      <c r="E384" s="2" t="s">
        <v>104</v>
      </c>
      <c r="F384" s="2" t="n">
        <v>3</v>
      </c>
      <c r="G384" s="2" t="s">
        <v>35</v>
      </c>
      <c r="H384" s="2" t="s">
        <v>1199</v>
      </c>
      <c r="I384" s="2" t="n">
        <v>8</v>
      </c>
      <c r="J384" s="2" t="n">
        <v>2</v>
      </c>
      <c r="K384" s="2" t="s">
        <v>64</v>
      </c>
      <c r="L384" s="2" t="s">
        <v>86</v>
      </c>
      <c r="M384" s="2"/>
      <c r="N384" s="2"/>
      <c r="O384" s="3" t="s">
        <v>527</v>
      </c>
      <c r="P384" s="2" t="s">
        <v>209</v>
      </c>
      <c r="Q384" s="2" t="s">
        <v>210</v>
      </c>
      <c r="R384" s="2" t="s">
        <v>2583</v>
      </c>
      <c r="S384" s="2" t="s">
        <v>2584</v>
      </c>
      <c r="T384" s="3" t="s">
        <v>2585</v>
      </c>
      <c r="U384" s="3"/>
      <c r="V384" s="3" t="s">
        <v>2586</v>
      </c>
      <c r="W384" s="3" t="s">
        <v>2587</v>
      </c>
      <c r="X384" s="2" t="n">
        <v>15</v>
      </c>
      <c r="Y384" s="2" t="n">
        <v>3</v>
      </c>
      <c r="Z384" s="2" t="s">
        <v>47</v>
      </c>
      <c r="AA384" s="3"/>
      <c r="AB384" s="5"/>
      <c r="AC384" s="5"/>
      <c r="AD384" s="3"/>
      <c r="AE384" s="3" t="s">
        <v>2588</v>
      </c>
    </row>
    <row r="385" customFormat="false" ht="60" hidden="false" customHeight="true" outlineLevel="0" collapsed="false">
      <c r="A385" s="2" t="s">
        <v>2589</v>
      </c>
      <c r="B385" s="2" t="n">
        <v>2025</v>
      </c>
      <c r="C385" s="2" t="s">
        <v>160</v>
      </c>
      <c r="D385" s="2" t="s">
        <v>316</v>
      </c>
      <c r="E385" s="2" t="s">
        <v>104</v>
      </c>
      <c r="F385" s="2" t="n">
        <v>3</v>
      </c>
      <c r="G385" s="2" t="s">
        <v>52</v>
      </c>
      <c r="H385" s="2" t="s">
        <v>1199</v>
      </c>
      <c r="I385" s="2" t="n">
        <v>12</v>
      </c>
      <c r="J385" s="2" t="n">
        <v>4</v>
      </c>
      <c r="K385" s="2" t="s">
        <v>813</v>
      </c>
      <c r="L385" s="2"/>
      <c r="M385" s="2"/>
      <c r="N385" s="2"/>
      <c r="O385" s="3"/>
      <c r="P385" s="2" t="s">
        <v>151</v>
      </c>
      <c r="Q385" s="2" t="s">
        <v>152</v>
      </c>
      <c r="R385" s="2" t="s">
        <v>2319</v>
      </c>
      <c r="S385" s="2" t="s">
        <v>2320</v>
      </c>
      <c r="T385" s="3" t="s">
        <v>2590</v>
      </c>
      <c r="U385" s="3"/>
      <c r="V385" s="3" t="s">
        <v>2591</v>
      </c>
      <c r="W385" s="3" t="s">
        <v>2592</v>
      </c>
      <c r="X385" s="2" t="n">
        <v>16</v>
      </c>
      <c r="Y385" s="2" t="n">
        <v>3</v>
      </c>
      <c r="Z385" s="2" t="s">
        <v>47</v>
      </c>
      <c r="AA385" s="3"/>
      <c r="AB385" s="5"/>
      <c r="AC385" s="5"/>
      <c r="AD385" s="3"/>
      <c r="AE385" s="3" t="s">
        <v>2593</v>
      </c>
    </row>
    <row r="386" customFormat="false" ht="60" hidden="false" customHeight="true" outlineLevel="0" collapsed="false">
      <c r="A386" s="2" t="s">
        <v>2594</v>
      </c>
      <c r="B386" s="2" t="n">
        <v>2025</v>
      </c>
      <c r="C386" s="2" t="s">
        <v>160</v>
      </c>
      <c r="D386" s="2" t="s">
        <v>316</v>
      </c>
      <c r="E386" s="2" t="s">
        <v>1230</v>
      </c>
      <c r="F386" s="2" t="n">
        <v>4</v>
      </c>
      <c r="G386" s="2" t="s">
        <v>35</v>
      </c>
      <c r="H386" s="2" t="s">
        <v>1231</v>
      </c>
      <c r="I386" s="2" t="n">
        <v>8</v>
      </c>
      <c r="J386" s="2" t="n">
        <v>2</v>
      </c>
      <c r="K386" s="2" t="s">
        <v>64</v>
      </c>
      <c r="L386" s="2" t="s">
        <v>86</v>
      </c>
      <c r="M386" s="2"/>
      <c r="N386" s="2"/>
      <c r="O386" s="3" t="s">
        <v>232</v>
      </c>
      <c r="P386" s="2" t="s">
        <v>594</v>
      </c>
      <c r="Q386" s="2" t="s">
        <v>595</v>
      </c>
      <c r="R386" s="2" t="s">
        <v>1242</v>
      </c>
      <c r="S386" s="2" t="s">
        <v>2595</v>
      </c>
      <c r="T386" s="3" t="s">
        <v>2596</v>
      </c>
      <c r="U386" s="3"/>
      <c r="V386" s="3" t="s">
        <v>2597</v>
      </c>
      <c r="W386" s="3" t="s">
        <v>2598</v>
      </c>
      <c r="X386" s="2" t="n">
        <v>18</v>
      </c>
      <c r="Y386" s="2" t="n">
        <v>4</v>
      </c>
      <c r="Z386" s="2" t="s">
        <v>47</v>
      </c>
      <c r="AA386" s="3"/>
      <c r="AB386" s="5"/>
      <c r="AC386" s="5"/>
      <c r="AD386" s="3" t="s">
        <v>2599</v>
      </c>
      <c r="AE386" s="3" t="s">
        <v>2600</v>
      </c>
    </row>
    <row r="387" customFormat="false" ht="60" hidden="false" customHeight="true" outlineLevel="0" collapsed="false">
      <c r="A387" s="2" t="s">
        <v>2601</v>
      </c>
      <c r="B387" s="2" t="n">
        <v>2025</v>
      </c>
      <c r="C387" s="2" t="s">
        <v>160</v>
      </c>
      <c r="D387" s="2" t="s">
        <v>316</v>
      </c>
      <c r="E387" s="2" t="s">
        <v>1230</v>
      </c>
      <c r="F387" s="2" t="n">
        <v>4</v>
      </c>
      <c r="G387" s="2" t="s">
        <v>52</v>
      </c>
      <c r="H387" s="2" t="s">
        <v>1231</v>
      </c>
      <c r="I387" s="2" t="n">
        <v>12</v>
      </c>
      <c r="J387" s="2" t="n">
        <v>4</v>
      </c>
      <c r="K387" s="2" t="s">
        <v>813</v>
      </c>
      <c r="L387" s="2"/>
      <c r="M387" s="2"/>
      <c r="N387" s="2"/>
      <c r="O387" s="3" t="s">
        <v>1912</v>
      </c>
      <c r="P387" s="2" t="s">
        <v>594</v>
      </c>
      <c r="Q387" s="2" t="s">
        <v>595</v>
      </c>
      <c r="R387" s="2" t="s">
        <v>2602</v>
      </c>
      <c r="S387" s="2" t="s">
        <v>2603</v>
      </c>
      <c r="T387" s="3" t="s">
        <v>2604</v>
      </c>
      <c r="U387" s="3"/>
      <c r="V387" s="3" t="s">
        <v>2605</v>
      </c>
      <c r="W387" s="3" t="s">
        <v>2606</v>
      </c>
      <c r="X387" s="2" t="n">
        <v>19</v>
      </c>
      <c r="Y387" s="2" t="n">
        <v>4</v>
      </c>
      <c r="Z387" s="2" t="s">
        <v>47</v>
      </c>
      <c r="AA387" s="3"/>
      <c r="AB387" s="5"/>
      <c r="AC387" s="5"/>
      <c r="AD387" s="3" t="s">
        <v>2607</v>
      </c>
      <c r="AE387" s="3" t="s">
        <v>2608</v>
      </c>
    </row>
    <row r="388" customFormat="false" ht="60" hidden="false" customHeight="true" outlineLevel="0" collapsed="false">
      <c r="A388" s="2" t="s">
        <v>2609</v>
      </c>
      <c r="B388" s="2" t="n">
        <v>2025</v>
      </c>
      <c r="C388" s="2" t="s">
        <v>160</v>
      </c>
      <c r="D388" s="2" t="s">
        <v>316</v>
      </c>
      <c r="E388" s="2" t="s">
        <v>1230</v>
      </c>
      <c r="F388" s="2" t="n">
        <v>5</v>
      </c>
      <c r="G388" s="2" t="s">
        <v>35</v>
      </c>
      <c r="H388" s="2" t="s">
        <v>1231</v>
      </c>
      <c r="I388" s="2" t="n">
        <v>8</v>
      </c>
      <c r="J388" s="2" t="n">
        <v>2</v>
      </c>
      <c r="K388" s="2" t="s">
        <v>64</v>
      </c>
      <c r="L388" s="2" t="s">
        <v>86</v>
      </c>
      <c r="M388" s="2"/>
      <c r="N388" s="2"/>
      <c r="O388" s="3" t="s">
        <v>232</v>
      </c>
      <c r="P388" s="2" t="s">
        <v>193</v>
      </c>
      <c r="Q388" s="2" t="s">
        <v>194</v>
      </c>
      <c r="R388" s="2" t="s">
        <v>195</v>
      </c>
      <c r="S388" s="2" t="s">
        <v>2610</v>
      </c>
      <c r="T388" s="3" t="s">
        <v>2611</v>
      </c>
      <c r="U388" s="3"/>
      <c r="V388" s="3" t="s">
        <v>2612</v>
      </c>
      <c r="W388" s="3" t="s">
        <v>2613</v>
      </c>
      <c r="X388" s="2" t="n">
        <v>21</v>
      </c>
      <c r="Y388" s="2" t="n">
        <v>4</v>
      </c>
      <c r="Z388" s="2" t="s">
        <v>47</v>
      </c>
      <c r="AA388" s="3"/>
      <c r="AB388" s="5"/>
      <c r="AC388" s="5"/>
      <c r="AD388" s="3"/>
      <c r="AE388" s="3" t="s">
        <v>2614</v>
      </c>
    </row>
    <row r="389" customFormat="false" ht="60" hidden="false" customHeight="true" outlineLevel="0" collapsed="false">
      <c r="A389" s="2" t="s">
        <v>2615</v>
      </c>
      <c r="B389" s="2" t="n">
        <v>2025</v>
      </c>
      <c r="C389" s="2" t="s">
        <v>160</v>
      </c>
      <c r="D389" s="2" t="s">
        <v>316</v>
      </c>
      <c r="E389" s="2" t="s">
        <v>1230</v>
      </c>
      <c r="F389" s="2" t="n">
        <v>5</v>
      </c>
      <c r="G389" s="2" t="s">
        <v>52</v>
      </c>
      <c r="H389" s="2" t="s">
        <v>1231</v>
      </c>
      <c r="I389" s="2" t="n">
        <v>12</v>
      </c>
      <c r="J389" s="2" t="n">
        <v>4</v>
      </c>
      <c r="K389" s="2" t="s">
        <v>813</v>
      </c>
      <c r="L389" s="2"/>
      <c r="M389" s="2"/>
      <c r="N389" s="2"/>
      <c r="O389" s="3" t="s">
        <v>308</v>
      </c>
      <c r="P389" s="2" t="s">
        <v>193</v>
      </c>
      <c r="Q389" s="2" t="s">
        <v>194</v>
      </c>
      <c r="R389" s="2" t="s">
        <v>2616</v>
      </c>
      <c r="S389" s="2" t="s">
        <v>2617</v>
      </c>
      <c r="T389" s="3" t="s">
        <v>2618</v>
      </c>
      <c r="U389" s="3"/>
      <c r="V389" s="3" t="s">
        <v>2619</v>
      </c>
      <c r="W389" s="3" t="s">
        <v>2620</v>
      </c>
      <c r="X389" s="2" t="n">
        <v>22</v>
      </c>
      <c r="Y389" s="2" t="n">
        <v>4</v>
      </c>
      <c r="Z389" s="2" t="s">
        <v>47</v>
      </c>
      <c r="AA389" s="3"/>
      <c r="AB389" s="5"/>
      <c r="AC389" s="5"/>
      <c r="AD389" s="3"/>
      <c r="AE389" s="3" t="s">
        <v>2621</v>
      </c>
    </row>
    <row r="390" customFormat="false" ht="60" hidden="false" customHeight="true" outlineLevel="0" collapsed="false">
      <c r="A390" s="2" t="s">
        <v>2622</v>
      </c>
      <c r="B390" s="2" t="n">
        <v>2025</v>
      </c>
      <c r="C390" s="2" t="s">
        <v>160</v>
      </c>
      <c r="D390" s="2" t="s">
        <v>2623</v>
      </c>
      <c r="E390" s="2" t="s">
        <v>34</v>
      </c>
      <c r="F390" s="2" t="n">
        <v>1</v>
      </c>
      <c r="G390" s="2" t="s">
        <v>35</v>
      </c>
      <c r="H390" s="2"/>
      <c r="I390" s="2" t="n">
        <v>2</v>
      </c>
      <c r="J390" s="2" t="n">
        <v>0</v>
      </c>
      <c r="K390" s="2" t="s">
        <v>163</v>
      </c>
      <c r="L390" s="2"/>
      <c r="M390" s="2"/>
      <c r="N390" s="2"/>
      <c r="O390" s="3"/>
      <c r="P390" s="2" t="s">
        <v>594</v>
      </c>
      <c r="Q390" s="2" t="s">
        <v>595</v>
      </c>
      <c r="R390" s="2" t="s">
        <v>1242</v>
      </c>
      <c r="S390" s="2" t="s">
        <v>1696</v>
      </c>
      <c r="T390" s="3" t="s">
        <v>2624</v>
      </c>
      <c r="U390" s="3" t="s">
        <v>2625</v>
      </c>
      <c r="V390" s="3" t="s">
        <v>2626</v>
      </c>
      <c r="W390" s="3" t="s">
        <v>2627</v>
      </c>
      <c r="X390" s="2" t="n">
        <v>9</v>
      </c>
      <c r="Y390" s="2" t="n">
        <v>3</v>
      </c>
      <c r="Z390" s="2" t="s">
        <v>47</v>
      </c>
      <c r="AA390" s="4" t="s">
        <v>48</v>
      </c>
      <c r="AB390" s="5"/>
      <c r="AC390" s="5"/>
      <c r="AD390" s="3"/>
      <c r="AE390" s="3" t="s">
        <v>2628</v>
      </c>
    </row>
    <row r="391" customFormat="false" ht="60" hidden="false" customHeight="true" outlineLevel="0" collapsed="false">
      <c r="A391" s="2" t="s">
        <v>2629</v>
      </c>
      <c r="B391" s="2" t="n">
        <v>2025</v>
      </c>
      <c r="C391" s="2" t="s">
        <v>160</v>
      </c>
      <c r="D391" s="2" t="s">
        <v>2623</v>
      </c>
      <c r="E391" s="2" t="s">
        <v>34</v>
      </c>
      <c r="F391" s="2" t="n">
        <v>1</v>
      </c>
      <c r="G391" s="2" t="s">
        <v>52</v>
      </c>
      <c r="H391" s="2"/>
      <c r="I391" s="2" t="n">
        <v>2</v>
      </c>
      <c r="J391" s="2" t="n">
        <v>0</v>
      </c>
      <c r="K391" s="2" t="s">
        <v>64</v>
      </c>
      <c r="L391" s="2"/>
      <c r="M391" s="2"/>
      <c r="N391" s="2"/>
      <c r="O391" s="3"/>
      <c r="P391" s="2" t="s">
        <v>594</v>
      </c>
      <c r="Q391" s="2" t="s">
        <v>595</v>
      </c>
      <c r="R391" s="2" t="s">
        <v>1534</v>
      </c>
      <c r="S391" s="2" t="s">
        <v>1535</v>
      </c>
      <c r="T391" s="3" t="s">
        <v>1536</v>
      </c>
      <c r="U391" s="3" t="s">
        <v>2625</v>
      </c>
      <c r="V391" s="3" t="s">
        <v>2630</v>
      </c>
      <c r="W391" s="3" t="s">
        <v>2631</v>
      </c>
      <c r="X391" s="2" t="n">
        <v>9</v>
      </c>
      <c r="Y391" s="2" t="n">
        <v>3</v>
      </c>
      <c r="Z391" s="2" t="s">
        <v>47</v>
      </c>
      <c r="AA391" s="4" t="s">
        <v>69</v>
      </c>
      <c r="AB391" s="5"/>
      <c r="AC391" s="5"/>
      <c r="AD391" s="3"/>
      <c r="AE391" s="3" t="s">
        <v>2632</v>
      </c>
    </row>
    <row r="392" customFormat="false" ht="60" hidden="false" customHeight="true" outlineLevel="0" collapsed="false">
      <c r="A392" s="2" t="s">
        <v>2633</v>
      </c>
      <c r="B392" s="2" t="n">
        <v>2025</v>
      </c>
      <c r="C392" s="2" t="s">
        <v>160</v>
      </c>
      <c r="D392" s="2" t="s">
        <v>2623</v>
      </c>
      <c r="E392" s="2" t="s">
        <v>34</v>
      </c>
      <c r="F392" s="2" t="n">
        <v>1</v>
      </c>
      <c r="G392" s="2" t="s">
        <v>63</v>
      </c>
      <c r="H392" s="2"/>
      <c r="I392" s="2" t="n">
        <v>4</v>
      </c>
      <c r="J392" s="2" t="n">
        <v>1</v>
      </c>
      <c r="K392" s="2" t="s">
        <v>86</v>
      </c>
      <c r="L392" s="2"/>
      <c r="M392" s="2"/>
      <c r="N392" s="2"/>
      <c r="O392" s="3" t="s">
        <v>2634</v>
      </c>
      <c r="P392" s="2" t="s">
        <v>151</v>
      </c>
      <c r="Q392" s="2" t="s">
        <v>152</v>
      </c>
      <c r="R392" s="2" t="s">
        <v>950</v>
      </c>
      <c r="S392" s="2" t="s">
        <v>1099</v>
      </c>
      <c r="T392" s="3" t="s">
        <v>2635</v>
      </c>
      <c r="U392" s="3" t="s">
        <v>2625</v>
      </c>
      <c r="V392" s="3" t="s">
        <v>2636</v>
      </c>
      <c r="W392" s="3" t="s">
        <v>2637</v>
      </c>
      <c r="X392" s="2" t="n">
        <v>9</v>
      </c>
      <c r="Y392" s="2" t="n">
        <v>3</v>
      </c>
      <c r="Z392" s="2" t="s">
        <v>47</v>
      </c>
      <c r="AA392" s="4" t="s">
        <v>69</v>
      </c>
      <c r="AB392" s="5"/>
      <c r="AC392" s="5"/>
      <c r="AD392" s="3" t="s">
        <v>2638</v>
      </c>
      <c r="AE392" s="3" t="s">
        <v>2639</v>
      </c>
    </row>
    <row r="393" customFormat="false" ht="60" hidden="false" customHeight="true" outlineLevel="0" collapsed="false">
      <c r="A393" s="2" t="s">
        <v>2640</v>
      </c>
      <c r="B393" s="2" t="n">
        <v>2025</v>
      </c>
      <c r="C393" s="2" t="s">
        <v>160</v>
      </c>
      <c r="D393" s="2" t="s">
        <v>2623</v>
      </c>
      <c r="E393" s="2" t="s">
        <v>34</v>
      </c>
      <c r="F393" s="2" t="n">
        <v>1</v>
      </c>
      <c r="G393" s="2" t="s">
        <v>72</v>
      </c>
      <c r="H393" s="2"/>
      <c r="I393" s="2" t="n">
        <v>6</v>
      </c>
      <c r="J393" s="2" t="n">
        <v>2</v>
      </c>
      <c r="K393" s="2" t="s">
        <v>813</v>
      </c>
      <c r="L393" s="2"/>
      <c r="M393" s="2"/>
      <c r="N393" s="2"/>
      <c r="O393" s="3"/>
      <c r="P393" s="2" t="s">
        <v>594</v>
      </c>
      <c r="Q393" s="2" t="s">
        <v>595</v>
      </c>
      <c r="R393" s="2" t="s">
        <v>596</v>
      </c>
      <c r="S393" s="2" t="s">
        <v>597</v>
      </c>
      <c r="T393" s="3" t="s">
        <v>2641</v>
      </c>
      <c r="U393" s="3" t="s">
        <v>2625</v>
      </c>
      <c r="V393" s="3" t="s">
        <v>2642</v>
      </c>
      <c r="W393" s="3" t="s">
        <v>2643</v>
      </c>
      <c r="X393" s="2" t="n">
        <v>10</v>
      </c>
      <c r="Y393" s="2" t="n">
        <v>3</v>
      </c>
      <c r="Z393" s="2" t="s">
        <v>47</v>
      </c>
      <c r="AA393" s="4" t="s">
        <v>48</v>
      </c>
      <c r="AB393" s="5"/>
      <c r="AC393" s="5"/>
      <c r="AD393" s="3"/>
      <c r="AE393" s="3" t="s">
        <v>2644</v>
      </c>
    </row>
    <row r="394" customFormat="false" ht="60" hidden="false" customHeight="true" outlineLevel="0" collapsed="false">
      <c r="A394" s="2" t="s">
        <v>2645</v>
      </c>
      <c r="B394" s="2" t="n">
        <v>2025</v>
      </c>
      <c r="C394" s="2" t="s">
        <v>160</v>
      </c>
      <c r="D394" s="2" t="s">
        <v>2623</v>
      </c>
      <c r="E394" s="2" t="s">
        <v>34</v>
      </c>
      <c r="F394" s="2" t="n">
        <v>1</v>
      </c>
      <c r="G394" s="2" t="s">
        <v>84</v>
      </c>
      <c r="H394" s="2"/>
      <c r="I394" s="2" t="n">
        <v>6</v>
      </c>
      <c r="J394" s="2" t="n">
        <v>2</v>
      </c>
      <c r="K394" s="2" t="s">
        <v>813</v>
      </c>
      <c r="L394" s="2"/>
      <c r="M394" s="2"/>
      <c r="N394" s="2"/>
      <c r="O394" s="3"/>
      <c r="P394" s="2" t="s">
        <v>1266</v>
      </c>
      <c r="Q394" s="2" t="s">
        <v>1267</v>
      </c>
      <c r="R394" s="2" t="s">
        <v>2646</v>
      </c>
      <c r="S394" s="2" t="s">
        <v>2647</v>
      </c>
      <c r="T394" s="3" t="s">
        <v>2648</v>
      </c>
      <c r="U394" s="3" t="s">
        <v>2625</v>
      </c>
      <c r="V394" s="3" t="s">
        <v>2649</v>
      </c>
      <c r="W394" s="3" t="s">
        <v>2650</v>
      </c>
      <c r="X394" s="2" t="n">
        <v>11</v>
      </c>
      <c r="Y394" s="2" t="n">
        <v>3</v>
      </c>
      <c r="Z394" s="2" t="s">
        <v>47</v>
      </c>
      <c r="AA394" s="4" t="s">
        <v>69</v>
      </c>
      <c r="AB394" s="5"/>
      <c r="AC394" s="5"/>
      <c r="AD394" s="3"/>
      <c r="AE394" s="3" t="s">
        <v>2651</v>
      </c>
    </row>
    <row r="395" customFormat="false" ht="60" hidden="false" customHeight="true" outlineLevel="0" collapsed="false">
      <c r="A395" s="2" t="s">
        <v>2652</v>
      </c>
      <c r="B395" s="2" t="n">
        <v>2025</v>
      </c>
      <c r="C395" s="2" t="s">
        <v>160</v>
      </c>
      <c r="D395" s="2" t="s">
        <v>2623</v>
      </c>
      <c r="E395" s="2" t="s">
        <v>104</v>
      </c>
      <c r="F395" s="2" t="n">
        <v>2</v>
      </c>
      <c r="G395" s="2" t="s">
        <v>35</v>
      </c>
      <c r="H395" s="2" t="s">
        <v>1199</v>
      </c>
      <c r="I395" s="2" t="n">
        <v>8</v>
      </c>
      <c r="J395" s="2" t="n">
        <v>2</v>
      </c>
      <c r="K395" s="2" t="s">
        <v>64</v>
      </c>
      <c r="L395" s="2" t="s">
        <v>86</v>
      </c>
      <c r="M395" s="2"/>
      <c r="N395" s="2"/>
      <c r="O395" s="3"/>
      <c r="P395" s="2" t="s">
        <v>124</v>
      </c>
      <c r="Q395" s="2" t="s">
        <v>125</v>
      </c>
      <c r="R395" s="2" t="s">
        <v>126</v>
      </c>
      <c r="S395" s="2" t="s">
        <v>2653</v>
      </c>
      <c r="T395" s="3" t="s">
        <v>2654</v>
      </c>
      <c r="U395" s="3"/>
      <c r="V395" s="3" t="s">
        <v>2655</v>
      </c>
      <c r="W395" s="3" t="s">
        <v>2656</v>
      </c>
      <c r="X395" s="2" t="n">
        <v>12</v>
      </c>
      <c r="Y395" s="2" t="n">
        <v>3</v>
      </c>
      <c r="Z395" s="2" t="s">
        <v>47</v>
      </c>
      <c r="AA395" s="3"/>
      <c r="AB395" s="5"/>
      <c r="AC395" s="5"/>
      <c r="AD395" s="3" t="s">
        <v>2657</v>
      </c>
      <c r="AE395" s="3" t="s">
        <v>2658</v>
      </c>
    </row>
    <row r="396" customFormat="false" ht="60" hidden="false" customHeight="true" outlineLevel="0" collapsed="false">
      <c r="A396" s="2" t="s">
        <v>2659</v>
      </c>
      <c r="B396" s="2" t="n">
        <v>2025</v>
      </c>
      <c r="C396" s="2" t="s">
        <v>160</v>
      </c>
      <c r="D396" s="2" t="s">
        <v>2623</v>
      </c>
      <c r="E396" s="2" t="s">
        <v>104</v>
      </c>
      <c r="F396" s="2" t="n">
        <v>2</v>
      </c>
      <c r="G396" s="2" t="s">
        <v>52</v>
      </c>
      <c r="H396" s="2" t="s">
        <v>1199</v>
      </c>
      <c r="I396" s="2" t="n">
        <v>12</v>
      </c>
      <c r="J396" s="2" t="n">
        <v>4</v>
      </c>
      <c r="K396" s="2" t="s">
        <v>813</v>
      </c>
      <c r="L396" s="2"/>
      <c r="M396" s="2"/>
      <c r="N396" s="2"/>
      <c r="O396" s="3" t="s">
        <v>748</v>
      </c>
      <c r="P396" s="2" t="s">
        <v>1493</v>
      </c>
      <c r="Q396" s="2" t="s">
        <v>1494</v>
      </c>
      <c r="R396" s="2" t="s">
        <v>1495</v>
      </c>
      <c r="S396" s="2" t="s">
        <v>2660</v>
      </c>
      <c r="T396" s="3" t="s">
        <v>2661</v>
      </c>
      <c r="U396" s="3"/>
      <c r="V396" s="3" t="s">
        <v>2662</v>
      </c>
      <c r="W396" s="3" t="s">
        <v>2663</v>
      </c>
      <c r="X396" s="2" t="n">
        <v>13</v>
      </c>
      <c r="Y396" s="2" t="n">
        <v>3</v>
      </c>
      <c r="Z396" s="2" t="s">
        <v>47</v>
      </c>
      <c r="AA396" s="3"/>
      <c r="AB396" s="5"/>
      <c r="AC396" s="5"/>
      <c r="AD396" s="3"/>
      <c r="AE396" s="3" t="s">
        <v>2664</v>
      </c>
    </row>
    <row r="397" customFormat="false" ht="60" hidden="false" customHeight="true" outlineLevel="0" collapsed="false">
      <c r="A397" s="2" t="s">
        <v>2665</v>
      </c>
      <c r="B397" s="2" t="n">
        <v>2025</v>
      </c>
      <c r="C397" s="2" t="s">
        <v>160</v>
      </c>
      <c r="D397" s="2" t="s">
        <v>2623</v>
      </c>
      <c r="E397" s="2" t="s">
        <v>104</v>
      </c>
      <c r="F397" s="2" t="n">
        <v>3</v>
      </c>
      <c r="G397" s="2" t="s">
        <v>35</v>
      </c>
      <c r="H397" s="2" t="s">
        <v>1199</v>
      </c>
      <c r="I397" s="2" t="n">
        <v>8</v>
      </c>
      <c r="J397" s="2" t="n">
        <v>2</v>
      </c>
      <c r="K397" s="2" t="s">
        <v>64</v>
      </c>
      <c r="L397" s="2" t="s">
        <v>86</v>
      </c>
      <c r="M397" s="2" t="s">
        <v>37</v>
      </c>
      <c r="N397" s="2"/>
      <c r="O397" s="3" t="s">
        <v>73</v>
      </c>
      <c r="P397" s="2" t="s">
        <v>151</v>
      </c>
      <c r="Q397" s="2" t="s">
        <v>152</v>
      </c>
      <c r="R397" s="2" t="s">
        <v>443</v>
      </c>
      <c r="S397" s="2" t="s">
        <v>2666</v>
      </c>
      <c r="T397" s="3" t="s">
        <v>2667</v>
      </c>
      <c r="U397" s="3"/>
      <c r="V397" s="3" t="s">
        <v>2668</v>
      </c>
      <c r="W397" s="3" t="s">
        <v>2669</v>
      </c>
      <c r="X397" s="2" t="n">
        <v>15</v>
      </c>
      <c r="Y397" s="2" t="n">
        <v>3</v>
      </c>
      <c r="Z397" s="2" t="s">
        <v>47</v>
      </c>
      <c r="AA397" s="3"/>
      <c r="AB397" s="5"/>
      <c r="AC397" s="5"/>
      <c r="AD397" s="3" t="s">
        <v>2670</v>
      </c>
      <c r="AE397" s="3" t="s">
        <v>2671</v>
      </c>
    </row>
    <row r="398" customFormat="false" ht="60" hidden="false" customHeight="true" outlineLevel="0" collapsed="false">
      <c r="A398" s="2" t="s">
        <v>2672</v>
      </c>
      <c r="B398" s="2" t="n">
        <v>2025</v>
      </c>
      <c r="C398" s="2" t="s">
        <v>160</v>
      </c>
      <c r="D398" s="2" t="s">
        <v>2623</v>
      </c>
      <c r="E398" s="2" t="s">
        <v>104</v>
      </c>
      <c r="F398" s="2" t="n">
        <v>3</v>
      </c>
      <c r="G398" s="2" t="s">
        <v>52</v>
      </c>
      <c r="H398" s="2" t="s">
        <v>1199</v>
      </c>
      <c r="I398" s="2" t="n">
        <v>12</v>
      </c>
      <c r="J398" s="2" t="n">
        <v>4</v>
      </c>
      <c r="K398" s="2" t="s">
        <v>813</v>
      </c>
      <c r="L398" s="2"/>
      <c r="M398" s="2"/>
      <c r="N398" s="2"/>
      <c r="O398" s="3" t="s">
        <v>308</v>
      </c>
      <c r="P398" s="2" t="s">
        <v>1214</v>
      </c>
      <c r="Q398" s="2" t="s">
        <v>1215</v>
      </c>
      <c r="R398" s="2" t="s">
        <v>1216</v>
      </c>
      <c r="S398" s="2" t="s">
        <v>1989</v>
      </c>
      <c r="T398" s="3" t="s">
        <v>2673</v>
      </c>
      <c r="U398" s="3"/>
      <c r="V398" s="3" t="s">
        <v>2674</v>
      </c>
      <c r="W398" s="3" t="s">
        <v>2675</v>
      </c>
      <c r="X398" s="2" t="n">
        <v>16</v>
      </c>
      <c r="Y398" s="2" t="n">
        <v>3</v>
      </c>
      <c r="Z398" s="2" t="s">
        <v>47</v>
      </c>
      <c r="AA398" s="3"/>
      <c r="AB398" s="5"/>
      <c r="AC398" s="5"/>
      <c r="AD398" s="3" t="s">
        <v>2676</v>
      </c>
      <c r="AE398" s="3" t="s">
        <v>2677</v>
      </c>
    </row>
    <row r="399" customFormat="false" ht="60" hidden="false" customHeight="true" outlineLevel="0" collapsed="false">
      <c r="A399" s="2" t="s">
        <v>2678</v>
      </c>
      <c r="B399" s="2" t="n">
        <v>2025</v>
      </c>
      <c r="C399" s="2" t="s">
        <v>160</v>
      </c>
      <c r="D399" s="2" t="s">
        <v>2623</v>
      </c>
      <c r="E399" s="2" t="s">
        <v>1230</v>
      </c>
      <c r="F399" s="2" t="n">
        <v>4</v>
      </c>
      <c r="G399" s="2" t="s">
        <v>35</v>
      </c>
      <c r="H399" s="2" t="s">
        <v>1231</v>
      </c>
      <c r="I399" s="2" t="n">
        <v>8</v>
      </c>
      <c r="J399" s="2" t="n">
        <v>2</v>
      </c>
      <c r="K399" s="2" t="s">
        <v>64</v>
      </c>
      <c r="L399" s="2" t="s">
        <v>86</v>
      </c>
      <c r="M399" s="2"/>
      <c r="N399" s="2"/>
      <c r="O399" s="3"/>
      <c r="P399" s="2" t="s">
        <v>115</v>
      </c>
      <c r="Q399" s="2" t="s">
        <v>116</v>
      </c>
      <c r="R399" s="2" t="s">
        <v>2679</v>
      </c>
      <c r="S399" s="2" t="s">
        <v>2680</v>
      </c>
      <c r="T399" s="3" t="s">
        <v>2681</v>
      </c>
      <c r="U399" s="3"/>
      <c r="V399" s="3" t="s">
        <v>2682</v>
      </c>
      <c r="W399" s="3" t="s">
        <v>2683</v>
      </c>
      <c r="X399" s="2" t="n">
        <v>18</v>
      </c>
      <c r="Y399" s="2" t="n">
        <v>4</v>
      </c>
      <c r="Z399" s="2" t="s">
        <v>47</v>
      </c>
      <c r="AA399" s="3"/>
      <c r="AB399" s="5"/>
      <c r="AC399" s="5"/>
      <c r="AD399" s="3"/>
      <c r="AE399" s="3" t="s">
        <v>2684</v>
      </c>
    </row>
    <row r="400" customFormat="false" ht="60" hidden="false" customHeight="true" outlineLevel="0" collapsed="false">
      <c r="A400" s="2" t="s">
        <v>2685</v>
      </c>
      <c r="B400" s="2" t="n">
        <v>2025</v>
      </c>
      <c r="C400" s="2" t="s">
        <v>160</v>
      </c>
      <c r="D400" s="2" t="s">
        <v>2623</v>
      </c>
      <c r="E400" s="2" t="s">
        <v>1230</v>
      </c>
      <c r="F400" s="2" t="n">
        <v>4</v>
      </c>
      <c r="G400" s="2" t="s">
        <v>52</v>
      </c>
      <c r="H400" s="2" t="s">
        <v>1231</v>
      </c>
      <c r="I400" s="2" t="n">
        <v>12</v>
      </c>
      <c r="J400" s="2" t="n">
        <v>4</v>
      </c>
      <c r="K400" s="2" t="s">
        <v>813</v>
      </c>
      <c r="L400" s="2"/>
      <c r="M400" s="2"/>
      <c r="N400" s="2"/>
      <c r="O400" s="3" t="s">
        <v>527</v>
      </c>
      <c r="P400" s="2" t="s">
        <v>39</v>
      </c>
      <c r="Q400" s="2" t="s">
        <v>40</v>
      </c>
      <c r="R400" s="2" t="s">
        <v>41</v>
      </c>
      <c r="S400" s="2" t="s">
        <v>405</v>
      </c>
      <c r="T400" s="3" t="s">
        <v>2686</v>
      </c>
      <c r="U400" s="3"/>
      <c r="V400" s="3" t="s">
        <v>2687</v>
      </c>
      <c r="W400" s="3" t="s">
        <v>2688</v>
      </c>
      <c r="X400" s="2" t="n">
        <v>19</v>
      </c>
      <c r="Y400" s="2" t="n">
        <v>4</v>
      </c>
      <c r="Z400" s="2" t="s">
        <v>47</v>
      </c>
      <c r="AA400" s="3"/>
      <c r="AB400" s="5"/>
      <c r="AC400" s="5"/>
      <c r="AD400" s="3" t="s">
        <v>2689</v>
      </c>
      <c r="AE400" s="3" t="s">
        <v>2690</v>
      </c>
    </row>
    <row r="401" customFormat="false" ht="60" hidden="false" customHeight="true" outlineLevel="0" collapsed="false">
      <c r="A401" s="2" t="s">
        <v>2691</v>
      </c>
      <c r="B401" s="2" t="n">
        <v>2025</v>
      </c>
      <c r="C401" s="2" t="s">
        <v>160</v>
      </c>
      <c r="D401" s="2" t="s">
        <v>2623</v>
      </c>
      <c r="E401" s="2" t="s">
        <v>1230</v>
      </c>
      <c r="F401" s="2" t="n">
        <v>5</v>
      </c>
      <c r="G401" s="2" t="s">
        <v>35</v>
      </c>
      <c r="H401" s="2" t="s">
        <v>1231</v>
      </c>
      <c r="I401" s="2" t="n">
        <v>8</v>
      </c>
      <c r="J401" s="2" t="n">
        <v>2</v>
      </c>
      <c r="K401" s="2" t="s">
        <v>64</v>
      </c>
      <c r="L401" s="2" t="s">
        <v>86</v>
      </c>
      <c r="M401" s="2"/>
      <c r="N401" s="2"/>
      <c r="O401" s="3"/>
      <c r="P401" s="2" t="s">
        <v>193</v>
      </c>
      <c r="Q401" s="2" t="s">
        <v>194</v>
      </c>
      <c r="R401" s="2" t="s">
        <v>195</v>
      </c>
      <c r="S401" s="2" t="s">
        <v>649</v>
      </c>
      <c r="T401" s="3" t="s">
        <v>2692</v>
      </c>
      <c r="U401" s="3"/>
      <c r="V401" s="3" t="s">
        <v>2693</v>
      </c>
      <c r="W401" s="3" t="s">
        <v>2694</v>
      </c>
      <c r="X401" s="2" t="n">
        <v>20</v>
      </c>
      <c r="Y401" s="2" t="n">
        <v>4</v>
      </c>
      <c r="Z401" s="2" t="s">
        <v>47</v>
      </c>
      <c r="AA401" s="3"/>
      <c r="AB401" s="5"/>
      <c r="AC401" s="5"/>
      <c r="AD401" s="3" t="s">
        <v>2695</v>
      </c>
      <c r="AE401" s="3" t="s">
        <v>2696</v>
      </c>
    </row>
    <row r="402" customFormat="false" ht="60" hidden="false" customHeight="true" outlineLevel="0" collapsed="false">
      <c r="A402" s="2" t="s">
        <v>2697</v>
      </c>
      <c r="B402" s="2" t="n">
        <v>2025</v>
      </c>
      <c r="C402" s="2" t="s">
        <v>160</v>
      </c>
      <c r="D402" s="2" t="s">
        <v>2623</v>
      </c>
      <c r="E402" s="2" t="s">
        <v>1230</v>
      </c>
      <c r="F402" s="2" t="n">
        <v>5</v>
      </c>
      <c r="G402" s="2" t="s">
        <v>52</v>
      </c>
      <c r="H402" s="2" t="s">
        <v>1231</v>
      </c>
      <c r="I402" s="2" t="n">
        <v>12</v>
      </c>
      <c r="J402" s="2" t="n">
        <v>4</v>
      </c>
      <c r="K402" s="2" t="s">
        <v>813</v>
      </c>
      <c r="L402" s="2"/>
      <c r="M402" s="2"/>
      <c r="N402" s="2"/>
      <c r="O402" s="3" t="s">
        <v>527</v>
      </c>
      <c r="P402" s="2" t="s">
        <v>74</v>
      </c>
      <c r="Q402" s="2" t="s">
        <v>75</v>
      </c>
      <c r="R402" s="2" t="s">
        <v>459</v>
      </c>
      <c r="S402" s="2" t="s">
        <v>1878</v>
      </c>
      <c r="T402" s="3" t="s">
        <v>2698</v>
      </c>
      <c r="U402" s="3"/>
      <c r="V402" s="3" t="s">
        <v>2699</v>
      </c>
      <c r="W402" s="3" t="s">
        <v>2700</v>
      </c>
      <c r="X402" s="2" t="n">
        <v>21</v>
      </c>
      <c r="Y402" s="2" t="n">
        <v>4</v>
      </c>
      <c r="Z402" s="2" t="s">
        <v>47</v>
      </c>
      <c r="AA402" s="3"/>
      <c r="AB402" s="5"/>
      <c r="AC402" s="5"/>
      <c r="AD402" s="3" t="s">
        <v>2701</v>
      </c>
      <c r="AE402" s="3" t="s">
        <v>2702</v>
      </c>
    </row>
    <row r="403" customFormat="false" ht="60" hidden="false" customHeight="true" outlineLevel="0" collapsed="false">
      <c r="A403" s="2" t="s">
        <v>2703</v>
      </c>
      <c r="B403" s="2" t="n">
        <v>2025</v>
      </c>
      <c r="C403" s="2" t="s">
        <v>389</v>
      </c>
      <c r="D403" s="2" t="s">
        <v>161</v>
      </c>
      <c r="E403" s="2" t="s">
        <v>34</v>
      </c>
      <c r="F403" s="2" t="n">
        <v>1</v>
      </c>
      <c r="G403" s="2" t="s">
        <v>35</v>
      </c>
      <c r="H403" s="2"/>
      <c r="I403" s="2" t="n">
        <v>2</v>
      </c>
      <c r="J403" s="2" t="n">
        <v>0</v>
      </c>
      <c r="K403" s="2" t="s">
        <v>64</v>
      </c>
      <c r="L403" s="2"/>
      <c r="M403" s="2"/>
      <c r="N403" s="2"/>
      <c r="O403" s="3"/>
      <c r="P403" s="2" t="s">
        <v>433</v>
      </c>
      <c r="Q403" s="2" t="s">
        <v>434</v>
      </c>
      <c r="R403" s="2" t="s">
        <v>435</v>
      </c>
      <c r="S403" s="2" t="s">
        <v>2704</v>
      </c>
      <c r="T403" s="3" t="s">
        <v>2705</v>
      </c>
      <c r="U403" s="3" t="s">
        <v>2706</v>
      </c>
      <c r="V403" s="3" t="s">
        <v>2707</v>
      </c>
      <c r="W403" s="3" t="s">
        <v>2708</v>
      </c>
      <c r="X403" s="2" t="n">
        <v>10</v>
      </c>
      <c r="Y403" s="2" t="n">
        <v>3</v>
      </c>
      <c r="Z403" s="2" t="s">
        <v>47</v>
      </c>
      <c r="AA403" s="3"/>
      <c r="AB403" s="5"/>
      <c r="AC403" s="5"/>
      <c r="AD403" s="3"/>
      <c r="AE403" s="3" t="s">
        <v>2709</v>
      </c>
    </row>
    <row r="404" customFormat="false" ht="60" hidden="false" customHeight="true" outlineLevel="0" collapsed="false">
      <c r="A404" s="2" t="s">
        <v>2710</v>
      </c>
      <c r="B404" s="2" t="n">
        <v>2025</v>
      </c>
      <c r="C404" s="2" t="s">
        <v>389</v>
      </c>
      <c r="D404" s="2" t="s">
        <v>161</v>
      </c>
      <c r="E404" s="2" t="s">
        <v>34</v>
      </c>
      <c r="F404" s="2" t="n">
        <v>1</v>
      </c>
      <c r="G404" s="2" t="s">
        <v>52</v>
      </c>
      <c r="H404" s="2"/>
      <c r="I404" s="2" t="n">
        <v>2</v>
      </c>
      <c r="J404" s="2" t="n">
        <v>0</v>
      </c>
      <c r="K404" s="2" t="s">
        <v>64</v>
      </c>
      <c r="L404" s="2"/>
      <c r="M404" s="2"/>
      <c r="N404" s="2"/>
      <c r="O404" s="3"/>
      <c r="P404" s="2" t="s">
        <v>332</v>
      </c>
      <c r="Q404" s="2" t="s">
        <v>333</v>
      </c>
      <c r="R404" s="2" t="s">
        <v>2711</v>
      </c>
      <c r="S404" s="2" t="s">
        <v>2712</v>
      </c>
      <c r="T404" s="3" t="s">
        <v>2713</v>
      </c>
      <c r="U404" s="3" t="s">
        <v>2706</v>
      </c>
      <c r="V404" s="3" t="s">
        <v>2714</v>
      </c>
      <c r="W404" s="3" t="s">
        <v>2715</v>
      </c>
      <c r="X404" s="2" t="n">
        <v>10</v>
      </c>
      <c r="Y404" s="2" t="n">
        <v>3</v>
      </c>
      <c r="Z404" s="2" t="s">
        <v>47</v>
      </c>
      <c r="AA404" s="3"/>
      <c r="AB404" s="5"/>
      <c r="AC404" s="5"/>
      <c r="AD404" s="3"/>
      <c r="AE404" s="3" t="s">
        <v>2716</v>
      </c>
    </row>
    <row r="405" customFormat="false" ht="60" hidden="false" customHeight="true" outlineLevel="0" collapsed="false">
      <c r="A405" s="2" t="s">
        <v>2717</v>
      </c>
      <c r="B405" s="2" t="n">
        <v>2025</v>
      </c>
      <c r="C405" s="2" t="s">
        <v>389</v>
      </c>
      <c r="D405" s="2" t="s">
        <v>161</v>
      </c>
      <c r="E405" s="2" t="s">
        <v>34</v>
      </c>
      <c r="F405" s="2" t="n">
        <v>1</v>
      </c>
      <c r="G405" s="2" t="s">
        <v>63</v>
      </c>
      <c r="H405" s="2"/>
      <c r="I405" s="2" t="n">
        <v>4</v>
      </c>
      <c r="J405" s="2" t="n">
        <v>1</v>
      </c>
      <c r="K405" s="2" t="s">
        <v>86</v>
      </c>
      <c r="L405" s="2"/>
      <c r="M405" s="2"/>
      <c r="N405" s="2"/>
      <c r="O405" s="3" t="s">
        <v>232</v>
      </c>
      <c r="P405" s="2" t="s">
        <v>151</v>
      </c>
      <c r="Q405" s="2" t="s">
        <v>152</v>
      </c>
      <c r="R405" s="2" t="s">
        <v>2718</v>
      </c>
      <c r="S405" s="2" t="s">
        <v>2719</v>
      </c>
      <c r="T405" s="3" t="s">
        <v>2720</v>
      </c>
      <c r="U405" s="3" t="s">
        <v>2706</v>
      </c>
      <c r="V405" s="3" t="s">
        <v>2721</v>
      </c>
      <c r="W405" s="3" t="s">
        <v>2722</v>
      </c>
      <c r="X405" s="2" t="n">
        <v>11</v>
      </c>
      <c r="Y405" s="2" t="n">
        <v>3</v>
      </c>
      <c r="Z405" s="2" t="s">
        <v>47</v>
      </c>
      <c r="AA405" s="3"/>
      <c r="AB405" s="5"/>
      <c r="AC405" s="5"/>
      <c r="AD405" s="3"/>
      <c r="AE405" s="3" t="s">
        <v>2723</v>
      </c>
    </row>
    <row r="406" customFormat="false" ht="60" hidden="false" customHeight="true" outlineLevel="0" collapsed="false">
      <c r="A406" s="2" t="s">
        <v>2724</v>
      </c>
      <c r="B406" s="2" t="n">
        <v>2025</v>
      </c>
      <c r="C406" s="2" t="s">
        <v>389</v>
      </c>
      <c r="D406" s="2" t="s">
        <v>161</v>
      </c>
      <c r="E406" s="2" t="s">
        <v>34</v>
      </c>
      <c r="F406" s="2" t="n">
        <v>1</v>
      </c>
      <c r="G406" s="2" t="s">
        <v>72</v>
      </c>
      <c r="H406" s="2"/>
      <c r="I406" s="2" t="n">
        <v>6</v>
      </c>
      <c r="J406" s="2" t="n">
        <v>2</v>
      </c>
      <c r="K406" s="2" t="s">
        <v>813</v>
      </c>
      <c r="L406" s="2"/>
      <c r="M406" s="2" t="s">
        <v>37</v>
      </c>
      <c r="N406" s="2"/>
      <c r="O406" s="3" t="s">
        <v>2725</v>
      </c>
      <c r="P406" s="2" t="s">
        <v>151</v>
      </c>
      <c r="Q406" s="2" t="s">
        <v>152</v>
      </c>
      <c r="R406" s="2" t="s">
        <v>950</v>
      </c>
      <c r="S406" s="2" t="s">
        <v>1099</v>
      </c>
      <c r="T406" s="3" t="s">
        <v>2726</v>
      </c>
      <c r="U406" s="3" t="s">
        <v>2706</v>
      </c>
      <c r="V406" s="3" t="s">
        <v>2727</v>
      </c>
      <c r="W406" s="3" t="s">
        <v>2728</v>
      </c>
      <c r="X406" s="2" t="n">
        <v>12</v>
      </c>
      <c r="Y406" s="2" t="n">
        <v>3</v>
      </c>
      <c r="Z406" s="2" t="s">
        <v>47</v>
      </c>
      <c r="AA406" s="3"/>
      <c r="AB406" s="5"/>
      <c r="AC406" s="5"/>
      <c r="AD406" s="3" t="s">
        <v>2729</v>
      </c>
      <c r="AE406" s="3" t="s">
        <v>2730</v>
      </c>
    </row>
    <row r="407" customFormat="false" ht="60" hidden="false" customHeight="true" outlineLevel="0" collapsed="false">
      <c r="A407" s="2" t="s">
        <v>2731</v>
      </c>
      <c r="B407" s="2" t="n">
        <v>2025</v>
      </c>
      <c r="C407" s="2" t="s">
        <v>389</v>
      </c>
      <c r="D407" s="2" t="s">
        <v>161</v>
      </c>
      <c r="E407" s="2" t="s">
        <v>34</v>
      </c>
      <c r="F407" s="2" t="n">
        <v>1</v>
      </c>
      <c r="G407" s="2" t="s">
        <v>84</v>
      </c>
      <c r="H407" s="2"/>
      <c r="I407" s="2" t="n">
        <v>6</v>
      </c>
      <c r="J407" s="2" t="n">
        <v>2</v>
      </c>
      <c r="K407" s="2" t="s">
        <v>813</v>
      </c>
      <c r="L407" s="2"/>
      <c r="M407" s="2"/>
      <c r="N407" s="2"/>
      <c r="O407" s="3"/>
      <c r="P407" s="2" t="s">
        <v>193</v>
      </c>
      <c r="Q407" s="2" t="s">
        <v>194</v>
      </c>
      <c r="R407" s="2" t="s">
        <v>2732</v>
      </c>
      <c r="S407" s="2" t="s">
        <v>2733</v>
      </c>
      <c r="T407" s="3" t="s">
        <v>2734</v>
      </c>
      <c r="U407" s="3" t="s">
        <v>2706</v>
      </c>
      <c r="V407" s="3" t="s">
        <v>2735</v>
      </c>
      <c r="W407" s="3" t="s">
        <v>2736</v>
      </c>
      <c r="X407" s="2" t="n">
        <v>12</v>
      </c>
      <c r="Y407" s="2" t="n">
        <v>3</v>
      </c>
      <c r="Z407" s="2" t="s">
        <v>47</v>
      </c>
      <c r="AA407" s="3"/>
      <c r="AB407" s="5"/>
      <c r="AC407" s="5"/>
      <c r="AD407" s="3"/>
      <c r="AE407" s="3" t="s">
        <v>2737</v>
      </c>
    </row>
    <row r="408" customFormat="false" ht="60" hidden="false" customHeight="true" outlineLevel="0" collapsed="false">
      <c r="A408" s="2" t="s">
        <v>2738</v>
      </c>
      <c r="B408" s="2" t="n">
        <v>2025</v>
      </c>
      <c r="C408" s="2" t="s">
        <v>389</v>
      </c>
      <c r="D408" s="2" t="s">
        <v>161</v>
      </c>
      <c r="E408" s="2" t="s">
        <v>104</v>
      </c>
      <c r="F408" s="2" t="n">
        <v>2</v>
      </c>
      <c r="G408" s="2" t="s">
        <v>35</v>
      </c>
      <c r="H408" s="2" t="s">
        <v>1199</v>
      </c>
      <c r="I408" s="2" t="n">
        <v>8</v>
      </c>
      <c r="J408" s="2" t="n">
        <v>2</v>
      </c>
      <c r="K408" s="2" t="s">
        <v>64</v>
      </c>
      <c r="L408" s="2" t="s">
        <v>86</v>
      </c>
      <c r="M408" s="2"/>
      <c r="N408" s="2"/>
      <c r="O408" s="3" t="s">
        <v>308</v>
      </c>
      <c r="P408" s="2" t="s">
        <v>124</v>
      </c>
      <c r="Q408" s="2" t="s">
        <v>125</v>
      </c>
      <c r="R408" s="2" t="s">
        <v>126</v>
      </c>
      <c r="S408" s="2" t="s">
        <v>2739</v>
      </c>
      <c r="T408" s="3" t="s">
        <v>2740</v>
      </c>
      <c r="U408" s="3"/>
      <c r="V408" s="3" t="s">
        <v>2741</v>
      </c>
      <c r="W408" s="3" t="s">
        <v>2742</v>
      </c>
      <c r="X408" s="2" t="n">
        <v>13</v>
      </c>
      <c r="Y408" s="2" t="n">
        <v>4</v>
      </c>
      <c r="Z408" s="2" t="s">
        <v>47</v>
      </c>
      <c r="AA408" s="3"/>
      <c r="AB408" s="5"/>
      <c r="AC408" s="5"/>
      <c r="AD408" s="3" t="s">
        <v>2743</v>
      </c>
      <c r="AE408" s="3" t="s">
        <v>2744</v>
      </c>
    </row>
    <row r="409" customFormat="false" ht="60" hidden="false" customHeight="true" outlineLevel="0" collapsed="false">
      <c r="A409" s="2" t="s">
        <v>2745</v>
      </c>
      <c r="B409" s="2" t="n">
        <v>2025</v>
      </c>
      <c r="C409" s="2" t="s">
        <v>389</v>
      </c>
      <c r="D409" s="2" t="s">
        <v>161</v>
      </c>
      <c r="E409" s="2" t="s">
        <v>104</v>
      </c>
      <c r="F409" s="2" t="n">
        <v>2</v>
      </c>
      <c r="G409" s="2" t="s">
        <v>52</v>
      </c>
      <c r="H409" s="2" t="s">
        <v>1199</v>
      </c>
      <c r="I409" s="2" t="n">
        <v>12</v>
      </c>
      <c r="J409" s="2" t="n">
        <v>4</v>
      </c>
      <c r="K409" s="2" t="s">
        <v>813</v>
      </c>
      <c r="L409" s="2"/>
      <c r="M409" s="2"/>
      <c r="N409" s="2"/>
      <c r="O409" s="3"/>
      <c r="P409" s="2" t="s">
        <v>124</v>
      </c>
      <c r="Q409" s="2" t="s">
        <v>125</v>
      </c>
      <c r="R409" s="2" t="s">
        <v>126</v>
      </c>
      <c r="S409" s="2" t="s">
        <v>847</v>
      </c>
      <c r="T409" s="3" t="s">
        <v>234</v>
      </c>
      <c r="U409" s="3"/>
      <c r="V409" s="3" t="s">
        <v>2746</v>
      </c>
      <c r="W409" s="3" t="s">
        <v>2747</v>
      </c>
      <c r="X409" s="2" t="n">
        <v>14</v>
      </c>
      <c r="Y409" s="2" t="n">
        <v>4</v>
      </c>
      <c r="Z409" s="2" t="s">
        <v>47</v>
      </c>
      <c r="AA409" s="3"/>
      <c r="AB409" s="5"/>
      <c r="AC409" s="5"/>
      <c r="AD409" s="3" t="s">
        <v>2748</v>
      </c>
      <c r="AE409" s="3" t="s">
        <v>2749</v>
      </c>
    </row>
    <row r="410" customFormat="false" ht="60" hidden="false" customHeight="true" outlineLevel="0" collapsed="false">
      <c r="A410" s="2" t="s">
        <v>2750</v>
      </c>
      <c r="B410" s="2" t="n">
        <v>2025</v>
      </c>
      <c r="C410" s="2" t="s">
        <v>389</v>
      </c>
      <c r="D410" s="2" t="s">
        <v>161</v>
      </c>
      <c r="E410" s="2" t="s">
        <v>104</v>
      </c>
      <c r="F410" s="2" t="n">
        <v>3</v>
      </c>
      <c r="G410" s="2" t="s">
        <v>35</v>
      </c>
      <c r="H410" s="2" t="s">
        <v>1199</v>
      </c>
      <c r="I410" s="2" t="n">
        <v>8</v>
      </c>
      <c r="J410" s="2" t="n">
        <v>2</v>
      </c>
      <c r="K410" s="2" t="s">
        <v>64</v>
      </c>
      <c r="L410" s="2" t="s">
        <v>86</v>
      </c>
      <c r="M410" s="2"/>
      <c r="N410" s="2"/>
      <c r="O410" s="3"/>
      <c r="P410" s="2" t="s">
        <v>209</v>
      </c>
      <c r="Q410" s="2" t="s">
        <v>210</v>
      </c>
      <c r="R410" s="2" t="s">
        <v>340</v>
      </c>
      <c r="S410" s="2" t="s">
        <v>341</v>
      </c>
      <c r="T410" s="3" t="s">
        <v>2751</v>
      </c>
      <c r="U410" s="3"/>
      <c r="V410" s="3" t="s">
        <v>2752</v>
      </c>
      <c r="W410" s="3" t="s">
        <v>2753</v>
      </c>
      <c r="X410" s="2" t="n">
        <v>16</v>
      </c>
      <c r="Y410" s="2" t="n">
        <v>4</v>
      </c>
      <c r="Z410" s="2" t="s">
        <v>47</v>
      </c>
      <c r="AA410" s="3"/>
      <c r="AB410" s="5"/>
      <c r="AC410" s="5"/>
      <c r="AD410" s="3" t="s">
        <v>2754</v>
      </c>
      <c r="AE410" s="3" t="s">
        <v>2755</v>
      </c>
    </row>
    <row r="411" customFormat="false" ht="60" hidden="false" customHeight="true" outlineLevel="0" collapsed="false">
      <c r="A411" s="2" t="s">
        <v>2756</v>
      </c>
      <c r="B411" s="2" t="n">
        <v>2025</v>
      </c>
      <c r="C411" s="2" t="s">
        <v>389</v>
      </c>
      <c r="D411" s="2" t="s">
        <v>161</v>
      </c>
      <c r="E411" s="2" t="s">
        <v>104</v>
      </c>
      <c r="F411" s="2" t="n">
        <v>3</v>
      </c>
      <c r="G411" s="2" t="s">
        <v>52</v>
      </c>
      <c r="H411" s="2" t="s">
        <v>1199</v>
      </c>
      <c r="I411" s="2" t="n">
        <v>12</v>
      </c>
      <c r="J411" s="2" t="n">
        <v>4</v>
      </c>
      <c r="K411" s="2" t="s">
        <v>813</v>
      </c>
      <c r="L411" s="2"/>
      <c r="M411" s="2"/>
      <c r="N411" s="2"/>
      <c r="O411" s="3" t="s">
        <v>308</v>
      </c>
      <c r="P411" s="2" t="s">
        <v>209</v>
      </c>
      <c r="Q411" s="2" t="s">
        <v>210</v>
      </c>
      <c r="R411" s="2" t="s">
        <v>340</v>
      </c>
      <c r="S411" s="2" t="s">
        <v>755</v>
      </c>
      <c r="T411" s="3" t="s">
        <v>1309</v>
      </c>
      <c r="U411" s="3"/>
      <c r="V411" s="3" t="s">
        <v>2757</v>
      </c>
      <c r="W411" s="3" t="s">
        <v>2758</v>
      </c>
      <c r="X411" s="2" t="n">
        <v>17</v>
      </c>
      <c r="Y411" s="2" t="n">
        <v>4</v>
      </c>
      <c r="Z411" s="2" t="s">
        <v>47</v>
      </c>
      <c r="AA411" s="3"/>
      <c r="AB411" s="5"/>
      <c r="AC411" s="5"/>
      <c r="AD411" s="3" t="s">
        <v>2759</v>
      </c>
      <c r="AE411" s="3" t="s">
        <v>2760</v>
      </c>
    </row>
    <row r="412" customFormat="false" ht="60" hidden="false" customHeight="true" outlineLevel="0" collapsed="false">
      <c r="A412" s="2" t="s">
        <v>2761</v>
      </c>
      <c r="B412" s="2" t="n">
        <v>2025</v>
      </c>
      <c r="C412" s="2" t="s">
        <v>389</v>
      </c>
      <c r="D412" s="2" t="s">
        <v>161</v>
      </c>
      <c r="E412" s="2" t="s">
        <v>1230</v>
      </c>
      <c r="F412" s="2" t="n">
        <v>4</v>
      </c>
      <c r="G412" s="2" t="s">
        <v>35</v>
      </c>
      <c r="H412" s="2" t="s">
        <v>1231</v>
      </c>
      <c r="I412" s="2" t="n">
        <v>8</v>
      </c>
      <c r="J412" s="2" t="n">
        <v>2</v>
      </c>
      <c r="K412" s="2" t="s">
        <v>64</v>
      </c>
      <c r="L412" s="2" t="s">
        <v>86</v>
      </c>
      <c r="M412" s="2"/>
      <c r="N412" s="2"/>
      <c r="O412" s="3" t="s">
        <v>527</v>
      </c>
      <c r="P412" s="2" t="s">
        <v>1266</v>
      </c>
      <c r="Q412" s="2" t="s">
        <v>1267</v>
      </c>
      <c r="R412" s="2" t="s">
        <v>1268</v>
      </c>
      <c r="S412" s="2" t="s">
        <v>1277</v>
      </c>
      <c r="T412" s="3" t="s">
        <v>2762</v>
      </c>
      <c r="U412" s="3"/>
      <c r="V412" s="3" t="s">
        <v>2763</v>
      </c>
      <c r="W412" s="3" t="s">
        <v>2764</v>
      </c>
      <c r="X412" s="2" t="n">
        <v>19</v>
      </c>
      <c r="Y412" s="2" t="n">
        <v>4</v>
      </c>
      <c r="Z412" s="2" t="s">
        <v>47</v>
      </c>
      <c r="AA412" s="3"/>
      <c r="AB412" s="5"/>
      <c r="AC412" s="5"/>
      <c r="AD412" s="3" t="s">
        <v>2765</v>
      </c>
      <c r="AE412" s="3" t="s">
        <v>2766</v>
      </c>
    </row>
    <row r="413" customFormat="false" ht="60" hidden="false" customHeight="true" outlineLevel="0" collapsed="false">
      <c r="A413" s="2" t="s">
        <v>2767</v>
      </c>
      <c r="B413" s="2" t="n">
        <v>2025</v>
      </c>
      <c r="C413" s="2" t="s">
        <v>389</v>
      </c>
      <c r="D413" s="2" t="s">
        <v>161</v>
      </c>
      <c r="E413" s="2" t="s">
        <v>1230</v>
      </c>
      <c r="F413" s="2" t="n">
        <v>4</v>
      </c>
      <c r="G413" s="2" t="s">
        <v>52</v>
      </c>
      <c r="H413" s="2" t="s">
        <v>1231</v>
      </c>
      <c r="I413" s="2" t="n">
        <v>12</v>
      </c>
      <c r="J413" s="2" t="n">
        <v>4</v>
      </c>
      <c r="K413" s="2" t="s">
        <v>813</v>
      </c>
      <c r="L413" s="2"/>
      <c r="M413" s="2"/>
      <c r="N413" s="2"/>
      <c r="O413" s="3"/>
      <c r="P413" s="2" t="s">
        <v>1266</v>
      </c>
      <c r="Q413" s="2" t="s">
        <v>1267</v>
      </c>
      <c r="R413" s="2" t="s">
        <v>1268</v>
      </c>
      <c r="S413" s="2" t="s">
        <v>1289</v>
      </c>
      <c r="T413" s="3" t="s">
        <v>2768</v>
      </c>
      <c r="U413" s="3"/>
      <c r="V413" s="3" t="s">
        <v>2769</v>
      </c>
      <c r="W413" s="3" t="s">
        <v>2770</v>
      </c>
      <c r="X413" s="2" t="n">
        <v>20</v>
      </c>
      <c r="Y413" s="2" t="n">
        <v>4</v>
      </c>
      <c r="Z413" s="2" t="s">
        <v>47</v>
      </c>
      <c r="AA413" s="3"/>
      <c r="AB413" s="5"/>
      <c r="AC413" s="5"/>
      <c r="AD413" s="3" t="s">
        <v>2771</v>
      </c>
      <c r="AE413" s="3" t="s">
        <v>2772</v>
      </c>
    </row>
    <row r="414" customFormat="false" ht="60" hidden="false" customHeight="true" outlineLevel="0" collapsed="false">
      <c r="A414" s="2" t="s">
        <v>2773</v>
      </c>
      <c r="B414" s="2" t="n">
        <v>2025</v>
      </c>
      <c r="C414" s="2" t="s">
        <v>389</v>
      </c>
      <c r="D414" s="2" t="s">
        <v>161</v>
      </c>
      <c r="E414" s="2" t="s">
        <v>1230</v>
      </c>
      <c r="F414" s="2" t="n">
        <v>5</v>
      </c>
      <c r="G414" s="2" t="s">
        <v>35</v>
      </c>
      <c r="H414" s="2" t="s">
        <v>1231</v>
      </c>
      <c r="I414" s="2" t="n">
        <v>8</v>
      </c>
      <c r="J414" s="2" t="n">
        <v>2</v>
      </c>
      <c r="K414" s="2" t="s">
        <v>64</v>
      </c>
      <c r="L414" s="2" t="s">
        <v>86</v>
      </c>
      <c r="M414" s="2"/>
      <c r="N414" s="2"/>
      <c r="O414" s="3"/>
      <c r="P414" s="2" t="s">
        <v>133</v>
      </c>
      <c r="Q414" s="2" t="s">
        <v>134</v>
      </c>
      <c r="R414" s="2" t="s">
        <v>135</v>
      </c>
      <c r="S414" s="2" t="s">
        <v>1600</v>
      </c>
      <c r="T414" s="3" t="s">
        <v>2774</v>
      </c>
      <c r="U414" s="3"/>
      <c r="V414" s="3" t="s">
        <v>2775</v>
      </c>
      <c r="W414" s="3" t="s">
        <v>2776</v>
      </c>
      <c r="X414" s="2" t="n">
        <v>22</v>
      </c>
      <c r="Y414" s="2" t="n">
        <v>4</v>
      </c>
      <c r="Z414" s="2" t="s">
        <v>47</v>
      </c>
      <c r="AA414" s="3"/>
      <c r="AB414" s="5"/>
      <c r="AC414" s="5"/>
      <c r="AD414" s="3" t="s">
        <v>2777</v>
      </c>
      <c r="AE414" s="3" t="s">
        <v>2778</v>
      </c>
    </row>
    <row r="415" customFormat="false" ht="60" hidden="false" customHeight="true" outlineLevel="0" collapsed="false">
      <c r="A415" s="2" t="s">
        <v>2779</v>
      </c>
      <c r="B415" s="2" t="n">
        <v>2025</v>
      </c>
      <c r="C415" s="2" t="s">
        <v>389</v>
      </c>
      <c r="D415" s="2" t="s">
        <v>161</v>
      </c>
      <c r="E415" s="2" t="s">
        <v>1230</v>
      </c>
      <c r="F415" s="2" t="n">
        <v>5</v>
      </c>
      <c r="G415" s="2" t="s">
        <v>52</v>
      </c>
      <c r="H415" s="2" t="s">
        <v>1231</v>
      </c>
      <c r="I415" s="2" t="n">
        <v>12</v>
      </c>
      <c r="J415" s="2" t="n">
        <v>4</v>
      </c>
      <c r="K415" s="2" t="s">
        <v>813</v>
      </c>
      <c r="L415" s="2"/>
      <c r="M415" s="2"/>
      <c r="N415" s="2"/>
      <c r="O415" s="3"/>
      <c r="P415" s="2" t="s">
        <v>133</v>
      </c>
      <c r="Q415" s="2" t="s">
        <v>134</v>
      </c>
      <c r="R415" s="2" t="s">
        <v>135</v>
      </c>
      <c r="S415" s="2" t="s">
        <v>717</v>
      </c>
      <c r="T415" s="3" t="s">
        <v>2780</v>
      </c>
      <c r="U415" s="3"/>
      <c r="V415" s="3" t="s">
        <v>2781</v>
      </c>
      <c r="W415" s="3" t="s">
        <v>2782</v>
      </c>
      <c r="X415" s="2" t="n">
        <v>23</v>
      </c>
      <c r="Y415" s="2" t="n">
        <v>4</v>
      </c>
      <c r="Z415" s="2" t="s">
        <v>47</v>
      </c>
      <c r="AA415" s="3"/>
      <c r="AB415" s="5"/>
      <c r="AC415" s="5"/>
      <c r="AD415" s="3"/>
      <c r="AE415" s="3" t="s">
        <v>2783</v>
      </c>
    </row>
    <row r="416" customFormat="false" ht="60" hidden="false" customHeight="true" outlineLevel="0" collapsed="false">
      <c r="A416" s="2" t="s">
        <v>2784</v>
      </c>
      <c r="B416" s="2" t="n">
        <v>2025</v>
      </c>
      <c r="C416" s="2" t="s">
        <v>389</v>
      </c>
      <c r="D416" s="2" t="s">
        <v>33</v>
      </c>
      <c r="E416" s="2" t="s">
        <v>34</v>
      </c>
      <c r="F416" s="2" t="n">
        <v>1</v>
      </c>
      <c r="G416" s="2" t="s">
        <v>162</v>
      </c>
      <c r="H416" s="2"/>
      <c r="I416" s="2" t="n">
        <v>1</v>
      </c>
      <c r="J416" s="2" t="n">
        <v>0</v>
      </c>
      <c r="K416" s="2" t="s">
        <v>53</v>
      </c>
      <c r="L416" s="2"/>
      <c r="M416" s="2"/>
      <c r="N416" s="2"/>
      <c r="O416" s="3"/>
      <c r="P416" s="2" t="s">
        <v>124</v>
      </c>
      <c r="Q416" s="2" t="s">
        <v>125</v>
      </c>
      <c r="R416" s="2" t="s">
        <v>126</v>
      </c>
      <c r="S416" s="2" t="s">
        <v>978</v>
      </c>
      <c r="T416" s="3" t="s">
        <v>2785</v>
      </c>
      <c r="U416" s="3" t="s">
        <v>2786</v>
      </c>
      <c r="V416" s="3" t="s">
        <v>2787</v>
      </c>
      <c r="W416" s="3" t="s">
        <v>2788</v>
      </c>
      <c r="X416" s="2" t="n">
        <v>10</v>
      </c>
      <c r="Y416" s="2" t="n">
        <v>3</v>
      </c>
      <c r="Z416" s="2" t="s">
        <v>47</v>
      </c>
      <c r="AA416" s="4" t="s">
        <v>69</v>
      </c>
      <c r="AB416" s="5"/>
      <c r="AC416" s="5"/>
      <c r="AD416" s="3"/>
      <c r="AE416" s="3" t="s">
        <v>2789</v>
      </c>
    </row>
    <row r="417" customFormat="false" ht="60" hidden="false" customHeight="true" outlineLevel="0" collapsed="false">
      <c r="A417" s="2" t="s">
        <v>2790</v>
      </c>
      <c r="B417" s="2" t="n">
        <v>2025</v>
      </c>
      <c r="C417" s="2" t="s">
        <v>389</v>
      </c>
      <c r="D417" s="2" t="s">
        <v>33</v>
      </c>
      <c r="E417" s="2" t="s">
        <v>34</v>
      </c>
      <c r="F417" s="2" t="n">
        <v>1</v>
      </c>
      <c r="G417" s="2" t="s">
        <v>174</v>
      </c>
      <c r="H417" s="2"/>
      <c r="I417" s="2" t="n">
        <v>1</v>
      </c>
      <c r="J417" s="2" t="n">
        <v>0</v>
      </c>
      <c r="K417" s="2" t="s">
        <v>36</v>
      </c>
      <c r="L417" s="2"/>
      <c r="M417" s="2"/>
      <c r="N417" s="2" t="s">
        <v>37</v>
      </c>
      <c r="O417" s="3" t="s">
        <v>38</v>
      </c>
      <c r="P417" s="2" t="s">
        <v>185</v>
      </c>
      <c r="Q417" s="2" t="s">
        <v>186</v>
      </c>
      <c r="R417" s="2" t="s">
        <v>317</v>
      </c>
      <c r="S417" s="2" t="s">
        <v>318</v>
      </c>
      <c r="T417" s="3" t="s">
        <v>873</v>
      </c>
      <c r="U417" s="3" t="s">
        <v>2786</v>
      </c>
      <c r="V417" s="3" t="s">
        <v>2791</v>
      </c>
      <c r="W417" s="2" t="s">
        <v>2792</v>
      </c>
      <c r="X417" s="2" t="n">
        <v>10</v>
      </c>
      <c r="Y417" s="2" t="n">
        <v>3</v>
      </c>
      <c r="Z417" s="2" t="s">
        <v>47</v>
      </c>
      <c r="AA417" s="4" t="s">
        <v>48</v>
      </c>
      <c r="AB417" s="5"/>
      <c r="AC417" s="5"/>
      <c r="AD417" s="3" t="s">
        <v>2793</v>
      </c>
      <c r="AE417" s="3" t="s">
        <v>2794</v>
      </c>
    </row>
    <row r="418" customFormat="false" ht="60" hidden="false" customHeight="true" outlineLevel="0" collapsed="false">
      <c r="A418" s="2" t="s">
        <v>2795</v>
      </c>
      <c r="B418" s="2" t="n">
        <v>2025</v>
      </c>
      <c r="C418" s="2" t="s">
        <v>389</v>
      </c>
      <c r="D418" s="2" t="s">
        <v>33</v>
      </c>
      <c r="E418" s="2" t="s">
        <v>34</v>
      </c>
      <c r="F418" s="2" t="n">
        <v>1</v>
      </c>
      <c r="G418" s="2" t="s">
        <v>52</v>
      </c>
      <c r="H418" s="2"/>
      <c r="I418" s="2" t="n">
        <v>2</v>
      </c>
      <c r="J418" s="2" t="n">
        <v>0</v>
      </c>
      <c r="K418" s="2" t="s">
        <v>1361</v>
      </c>
      <c r="L418" s="2"/>
      <c r="M418" s="2" t="s">
        <v>37</v>
      </c>
      <c r="N418" s="2"/>
      <c r="O418" s="3" t="s">
        <v>73</v>
      </c>
      <c r="P418" s="2" t="s">
        <v>142</v>
      </c>
      <c r="Q418" s="2" t="s">
        <v>143</v>
      </c>
      <c r="R418" s="2" t="s">
        <v>144</v>
      </c>
      <c r="S418" s="2" t="s">
        <v>1028</v>
      </c>
      <c r="T418" s="3" t="s">
        <v>2796</v>
      </c>
      <c r="U418" s="3" t="s">
        <v>2786</v>
      </c>
      <c r="V418" s="3" t="s">
        <v>2797</v>
      </c>
      <c r="W418" s="3" t="s">
        <v>2798</v>
      </c>
      <c r="X418" s="2" t="n">
        <v>10</v>
      </c>
      <c r="Y418" s="2" t="n">
        <v>3</v>
      </c>
      <c r="Z418" s="2" t="s">
        <v>47</v>
      </c>
      <c r="AA418" s="4" t="s">
        <v>69</v>
      </c>
      <c r="AB418" s="5"/>
      <c r="AC418" s="5"/>
      <c r="AD418" s="3" t="s">
        <v>2799</v>
      </c>
      <c r="AE418" s="3" t="s">
        <v>2800</v>
      </c>
    </row>
    <row r="419" customFormat="false" ht="60" hidden="false" customHeight="true" outlineLevel="0" collapsed="false">
      <c r="A419" s="2" t="s">
        <v>2801</v>
      </c>
      <c r="B419" s="2" t="n">
        <v>2025</v>
      </c>
      <c r="C419" s="2" t="s">
        <v>389</v>
      </c>
      <c r="D419" s="2" t="s">
        <v>33</v>
      </c>
      <c r="E419" s="2" t="s">
        <v>34</v>
      </c>
      <c r="F419" s="2" t="n">
        <v>1</v>
      </c>
      <c r="G419" s="2" t="s">
        <v>63</v>
      </c>
      <c r="H419" s="2"/>
      <c r="I419" s="2" t="n">
        <v>4</v>
      </c>
      <c r="J419" s="2" t="n">
        <v>1</v>
      </c>
      <c r="K419" s="2" t="s">
        <v>86</v>
      </c>
      <c r="L419" s="2"/>
      <c r="M419" s="2"/>
      <c r="N419" s="2"/>
      <c r="O419" s="3"/>
      <c r="P419" s="2" t="s">
        <v>151</v>
      </c>
      <c r="Q419" s="2" t="s">
        <v>152</v>
      </c>
      <c r="R419" s="2" t="s">
        <v>950</v>
      </c>
      <c r="S419" s="2" t="s">
        <v>1323</v>
      </c>
      <c r="T419" s="3" t="s">
        <v>2802</v>
      </c>
      <c r="U419" s="3" t="s">
        <v>2786</v>
      </c>
      <c r="V419" s="3" t="s">
        <v>2803</v>
      </c>
      <c r="W419" s="3" t="s">
        <v>2804</v>
      </c>
      <c r="X419" s="2" t="n">
        <v>11</v>
      </c>
      <c r="Y419" s="2" t="n">
        <v>3</v>
      </c>
      <c r="Z419" s="2" t="s">
        <v>47</v>
      </c>
      <c r="AA419" s="4" t="s">
        <v>69</v>
      </c>
      <c r="AB419" s="5"/>
      <c r="AC419" s="5"/>
      <c r="AD419" s="3" t="s">
        <v>2805</v>
      </c>
      <c r="AE419" s="3" t="s">
        <v>2806</v>
      </c>
    </row>
    <row r="420" customFormat="false" ht="60" hidden="false" customHeight="true" outlineLevel="0" collapsed="false">
      <c r="A420" s="2" t="s">
        <v>2807</v>
      </c>
      <c r="B420" s="2" t="n">
        <v>2025</v>
      </c>
      <c r="C420" s="2" t="s">
        <v>389</v>
      </c>
      <c r="D420" s="2" t="s">
        <v>33</v>
      </c>
      <c r="E420" s="2" t="s">
        <v>34</v>
      </c>
      <c r="F420" s="2" t="n">
        <v>1</v>
      </c>
      <c r="G420" s="2" t="s">
        <v>72</v>
      </c>
      <c r="H420" s="2"/>
      <c r="I420" s="2" t="n">
        <v>6</v>
      </c>
      <c r="J420" s="2" t="n">
        <v>2</v>
      </c>
      <c r="K420" s="2" t="s">
        <v>813</v>
      </c>
      <c r="L420" s="2"/>
      <c r="M420" s="2"/>
      <c r="N420" s="2"/>
      <c r="O420" s="3" t="s">
        <v>2438</v>
      </c>
      <c r="P420" s="2" t="s">
        <v>151</v>
      </c>
      <c r="Q420" s="2" t="s">
        <v>152</v>
      </c>
      <c r="R420" s="2" t="s">
        <v>542</v>
      </c>
      <c r="S420" s="2" t="s">
        <v>1046</v>
      </c>
      <c r="T420" s="3" t="s">
        <v>2808</v>
      </c>
      <c r="U420" s="3" t="s">
        <v>2786</v>
      </c>
      <c r="V420" s="3" t="s">
        <v>2809</v>
      </c>
      <c r="W420" s="3" t="s">
        <v>2810</v>
      </c>
      <c r="X420" s="2" t="n">
        <v>12</v>
      </c>
      <c r="Y420" s="2" t="n">
        <v>3</v>
      </c>
      <c r="Z420" s="2" t="s">
        <v>47</v>
      </c>
      <c r="AA420" s="4" t="s">
        <v>69</v>
      </c>
      <c r="AB420" s="5"/>
      <c r="AC420" s="5"/>
      <c r="AD420" s="3"/>
      <c r="AE420" s="3" t="s">
        <v>2811</v>
      </c>
    </row>
    <row r="421" customFormat="false" ht="60" hidden="false" customHeight="true" outlineLevel="0" collapsed="false">
      <c r="A421" s="2" t="s">
        <v>2812</v>
      </c>
      <c r="B421" s="2" t="n">
        <v>2025</v>
      </c>
      <c r="C421" s="2" t="s">
        <v>389</v>
      </c>
      <c r="D421" s="2" t="s">
        <v>33</v>
      </c>
      <c r="E421" s="2" t="s">
        <v>34</v>
      </c>
      <c r="F421" s="2" t="n">
        <v>1</v>
      </c>
      <c r="G421" s="2" t="s">
        <v>84</v>
      </c>
      <c r="H421" s="2"/>
      <c r="I421" s="2" t="n">
        <v>6</v>
      </c>
      <c r="J421" s="2" t="n">
        <v>2</v>
      </c>
      <c r="K421" s="2" t="s">
        <v>813</v>
      </c>
      <c r="L421" s="2"/>
      <c r="M421" s="2"/>
      <c r="N421" s="2"/>
      <c r="O421" s="3"/>
      <c r="P421" s="2" t="s">
        <v>193</v>
      </c>
      <c r="Q421" s="2" t="s">
        <v>194</v>
      </c>
      <c r="R421" s="2" t="s">
        <v>2813</v>
      </c>
      <c r="S421" s="2" t="s">
        <v>2814</v>
      </c>
      <c r="T421" s="3" t="s">
        <v>2815</v>
      </c>
      <c r="U421" s="3" t="s">
        <v>2786</v>
      </c>
      <c r="V421" s="3" t="s">
        <v>2816</v>
      </c>
      <c r="W421" s="3" t="s">
        <v>2817</v>
      </c>
      <c r="X421" s="2" t="n">
        <v>13</v>
      </c>
      <c r="Y421" s="2" t="n">
        <v>3</v>
      </c>
      <c r="Z421" s="2" t="s">
        <v>47</v>
      </c>
      <c r="AA421" s="4" t="s">
        <v>69</v>
      </c>
      <c r="AB421" s="5"/>
      <c r="AC421" s="5"/>
      <c r="AD421" s="3"/>
      <c r="AE421" s="3" t="s">
        <v>2818</v>
      </c>
    </row>
    <row r="422" customFormat="false" ht="60" hidden="false" customHeight="true" outlineLevel="0" collapsed="false">
      <c r="A422" s="2" t="s">
        <v>2819</v>
      </c>
      <c r="B422" s="2" t="n">
        <v>2025</v>
      </c>
      <c r="C422" s="2" t="s">
        <v>389</v>
      </c>
      <c r="D422" s="2" t="s">
        <v>33</v>
      </c>
      <c r="E422" s="2" t="s">
        <v>104</v>
      </c>
      <c r="F422" s="2" t="n">
        <v>2</v>
      </c>
      <c r="G422" s="2" t="s">
        <v>35</v>
      </c>
      <c r="H422" s="2" t="s">
        <v>1199</v>
      </c>
      <c r="I422" s="2" t="n">
        <v>8</v>
      </c>
      <c r="J422" s="2" t="n">
        <v>2</v>
      </c>
      <c r="K422" s="2" t="s">
        <v>64</v>
      </c>
      <c r="L422" s="2" t="s">
        <v>86</v>
      </c>
      <c r="M422" s="2" t="s">
        <v>37</v>
      </c>
      <c r="N422" s="2"/>
      <c r="O422" s="3" t="s">
        <v>2820</v>
      </c>
      <c r="P422" s="2" t="s">
        <v>224</v>
      </c>
      <c r="Q422" s="2" t="s">
        <v>225</v>
      </c>
      <c r="R422" s="2" t="s">
        <v>2821</v>
      </c>
      <c r="S422" s="2" t="s">
        <v>1391</v>
      </c>
      <c r="T422" s="3" t="s">
        <v>2822</v>
      </c>
      <c r="U422" s="3"/>
      <c r="V422" s="3" t="s">
        <v>2823</v>
      </c>
      <c r="W422" s="3" t="s">
        <v>2824</v>
      </c>
      <c r="X422" s="2" t="n">
        <v>14</v>
      </c>
      <c r="Y422" s="2" t="n">
        <v>3</v>
      </c>
      <c r="Z422" s="2" t="s">
        <v>47</v>
      </c>
      <c r="AA422" s="3"/>
      <c r="AB422" s="5"/>
      <c r="AC422" s="5"/>
      <c r="AD422" s="3"/>
      <c r="AE422" s="3" t="s">
        <v>2825</v>
      </c>
    </row>
    <row r="423" customFormat="false" ht="60" hidden="false" customHeight="true" outlineLevel="0" collapsed="false">
      <c r="A423" s="2" t="s">
        <v>2826</v>
      </c>
      <c r="B423" s="2" t="n">
        <v>2025</v>
      </c>
      <c r="C423" s="2" t="s">
        <v>389</v>
      </c>
      <c r="D423" s="2" t="s">
        <v>33</v>
      </c>
      <c r="E423" s="2" t="s">
        <v>104</v>
      </c>
      <c r="F423" s="2" t="n">
        <v>2</v>
      </c>
      <c r="G423" s="2" t="s">
        <v>52</v>
      </c>
      <c r="H423" s="2" t="s">
        <v>1199</v>
      </c>
      <c r="I423" s="2" t="n">
        <v>12</v>
      </c>
      <c r="J423" s="2" t="n">
        <v>4</v>
      </c>
      <c r="K423" s="2" t="s">
        <v>813</v>
      </c>
      <c r="L423" s="2"/>
      <c r="M423" s="2"/>
      <c r="N423" s="2"/>
      <c r="O423" s="3"/>
      <c r="P423" s="2" t="s">
        <v>124</v>
      </c>
      <c r="Q423" s="2" t="s">
        <v>125</v>
      </c>
      <c r="R423" s="2" t="s">
        <v>126</v>
      </c>
      <c r="S423" s="2" t="s">
        <v>847</v>
      </c>
      <c r="T423" s="3" t="s">
        <v>2827</v>
      </c>
      <c r="U423" s="3"/>
      <c r="V423" s="3" t="s">
        <v>2828</v>
      </c>
      <c r="W423" s="3" t="s">
        <v>2829</v>
      </c>
      <c r="X423" s="2" t="n">
        <v>15</v>
      </c>
      <c r="Y423" s="2" t="n">
        <v>3</v>
      </c>
      <c r="Z423" s="2" t="s">
        <v>47</v>
      </c>
      <c r="AA423" s="3"/>
      <c r="AB423" s="5"/>
      <c r="AC423" s="5"/>
      <c r="AD423" s="3" t="s">
        <v>2830</v>
      </c>
      <c r="AE423" s="3" t="s">
        <v>2831</v>
      </c>
    </row>
    <row r="424" customFormat="false" ht="60" hidden="false" customHeight="true" outlineLevel="0" collapsed="false">
      <c r="A424" s="2" t="s">
        <v>2832</v>
      </c>
      <c r="B424" s="2" t="n">
        <v>2025</v>
      </c>
      <c r="C424" s="2" t="s">
        <v>389</v>
      </c>
      <c r="D424" s="2" t="s">
        <v>33</v>
      </c>
      <c r="E424" s="2" t="s">
        <v>104</v>
      </c>
      <c r="F424" s="2" t="n">
        <v>3</v>
      </c>
      <c r="G424" s="2" t="s">
        <v>35</v>
      </c>
      <c r="H424" s="2" t="s">
        <v>1199</v>
      </c>
      <c r="I424" s="2" t="n">
        <v>8</v>
      </c>
      <c r="J424" s="2" t="n">
        <v>2</v>
      </c>
      <c r="K424" s="2" t="s">
        <v>64</v>
      </c>
      <c r="L424" s="2" t="s">
        <v>86</v>
      </c>
      <c r="M424" s="2" t="s">
        <v>37</v>
      </c>
      <c r="N424" s="2"/>
      <c r="O424" s="3" t="s">
        <v>1250</v>
      </c>
      <c r="P424" s="2" t="s">
        <v>106</v>
      </c>
      <c r="Q424" s="2" t="s">
        <v>107</v>
      </c>
      <c r="R424" s="2" t="s">
        <v>519</v>
      </c>
      <c r="S424" s="2" t="s">
        <v>2398</v>
      </c>
      <c r="T424" s="3" t="s">
        <v>2833</v>
      </c>
      <c r="U424" s="3"/>
      <c r="V424" s="3" t="s">
        <v>2834</v>
      </c>
      <c r="W424" s="3" t="s">
        <v>2835</v>
      </c>
      <c r="X424" s="2" t="n">
        <v>17</v>
      </c>
      <c r="Y424" s="2" t="n">
        <v>3</v>
      </c>
      <c r="Z424" s="2" t="s">
        <v>47</v>
      </c>
      <c r="AA424" s="3"/>
      <c r="AB424" s="5"/>
      <c r="AC424" s="5"/>
      <c r="AD424" s="3"/>
      <c r="AE424" s="3" t="s">
        <v>2836</v>
      </c>
    </row>
    <row r="425" customFormat="false" ht="60" hidden="false" customHeight="true" outlineLevel="0" collapsed="false">
      <c r="A425" s="2" t="s">
        <v>2837</v>
      </c>
      <c r="B425" s="2" t="n">
        <v>2025</v>
      </c>
      <c r="C425" s="2" t="s">
        <v>389</v>
      </c>
      <c r="D425" s="2" t="s">
        <v>33</v>
      </c>
      <c r="E425" s="2" t="s">
        <v>104</v>
      </c>
      <c r="F425" s="2" t="n">
        <v>3</v>
      </c>
      <c r="G425" s="2" t="s">
        <v>52</v>
      </c>
      <c r="H425" s="2" t="s">
        <v>1199</v>
      </c>
      <c r="I425" s="2" t="n">
        <v>12</v>
      </c>
      <c r="J425" s="2" t="n">
        <v>4</v>
      </c>
      <c r="K425" s="2" t="s">
        <v>813</v>
      </c>
      <c r="L425" s="2"/>
      <c r="M425" s="2"/>
      <c r="N425" s="2"/>
      <c r="O425" s="3" t="s">
        <v>1912</v>
      </c>
      <c r="P425" s="2" t="s">
        <v>106</v>
      </c>
      <c r="Q425" s="2" t="s">
        <v>107</v>
      </c>
      <c r="R425" s="2" t="s">
        <v>2405</v>
      </c>
      <c r="S425" s="2" t="s">
        <v>2406</v>
      </c>
      <c r="T425" s="3" t="s">
        <v>2838</v>
      </c>
      <c r="U425" s="3"/>
      <c r="V425" s="3" t="s">
        <v>2839</v>
      </c>
      <c r="W425" s="3" t="s">
        <v>2840</v>
      </c>
      <c r="X425" s="2" t="n">
        <v>18</v>
      </c>
      <c r="Y425" s="2" t="n">
        <v>3</v>
      </c>
      <c r="Z425" s="2" t="s">
        <v>47</v>
      </c>
      <c r="AA425" s="3"/>
      <c r="AB425" s="5"/>
      <c r="AC425" s="5"/>
      <c r="AD425" s="3"/>
      <c r="AE425" s="3" t="s">
        <v>2841</v>
      </c>
    </row>
    <row r="426" customFormat="false" ht="60" hidden="false" customHeight="true" outlineLevel="0" collapsed="false">
      <c r="A426" s="2" t="s">
        <v>2842</v>
      </c>
      <c r="B426" s="2" t="n">
        <v>2025</v>
      </c>
      <c r="C426" s="2" t="s">
        <v>389</v>
      </c>
      <c r="D426" s="2" t="s">
        <v>33</v>
      </c>
      <c r="E426" s="2" t="s">
        <v>1230</v>
      </c>
      <c r="F426" s="2" t="n">
        <v>4</v>
      </c>
      <c r="G426" s="2" t="s">
        <v>35</v>
      </c>
      <c r="H426" s="2" t="s">
        <v>1231</v>
      </c>
      <c r="I426" s="2" t="n">
        <v>8</v>
      </c>
      <c r="J426" s="2" t="n">
        <v>2</v>
      </c>
      <c r="K426" s="2" t="s">
        <v>64</v>
      </c>
      <c r="L426" s="2" t="s">
        <v>86</v>
      </c>
      <c r="M426" s="2"/>
      <c r="N426" s="2"/>
      <c r="O426" s="3" t="s">
        <v>1912</v>
      </c>
      <c r="P426" s="2" t="s">
        <v>164</v>
      </c>
      <c r="Q426" s="2" t="s">
        <v>165</v>
      </c>
      <c r="R426" s="2" t="s">
        <v>2843</v>
      </c>
      <c r="S426" s="2" t="s">
        <v>2844</v>
      </c>
      <c r="T426" s="3" t="s">
        <v>2845</v>
      </c>
      <c r="U426" s="3"/>
      <c r="V426" s="3" t="s">
        <v>2846</v>
      </c>
      <c r="W426" s="3" t="s">
        <v>2847</v>
      </c>
      <c r="X426" s="2" t="n">
        <v>20</v>
      </c>
      <c r="Y426" s="2" t="n">
        <v>4</v>
      </c>
      <c r="Z426" s="2" t="s">
        <v>47</v>
      </c>
      <c r="AA426" s="3"/>
      <c r="AB426" s="5"/>
      <c r="AC426" s="5"/>
      <c r="AD426" s="3"/>
      <c r="AE426" s="3" t="s">
        <v>2848</v>
      </c>
    </row>
    <row r="427" customFormat="false" ht="60" hidden="false" customHeight="true" outlineLevel="0" collapsed="false">
      <c r="A427" s="2" t="s">
        <v>2849</v>
      </c>
      <c r="B427" s="2" t="n">
        <v>2025</v>
      </c>
      <c r="C427" s="2" t="s">
        <v>389</v>
      </c>
      <c r="D427" s="2" t="s">
        <v>33</v>
      </c>
      <c r="E427" s="2" t="s">
        <v>1230</v>
      </c>
      <c r="F427" s="2" t="n">
        <v>4</v>
      </c>
      <c r="G427" s="2" t="s">
        <v>52</v>
      </c>
      <c r="H427" s="2" t="s">
        <v>1231</v>
      </c>
      <c r="I427" s="2" t="n">
        <v>12</v>
      </c>
      <c r="J427" s="2" t="n">
        <v>4</v>
      </c>
      <c r="K427" s="2" t="s">
        <v>813</v>
      </c>
      <c r="L427" s="2"/>
      <c r="M427" s="2"/>
      <c r="N427" s="2"/>
      <c r="O427" s="3" t="s">
        <v>2438</v>
      </c>
      <c r="P427" s="2" t="s">
        <v>466</v>
      </c>
      <c r="Q427" s="2" t="s">
        <v>467</v>
      </c>
      <c r="R427" s="2" t="s">
        <v>1258</v>
      </c>
      <c r="S427" s="2" t="s">
        <v>1259</v>
      </c>
      <c r="T427" s="3" t="s">
        <v>1260</v>
      </c>
      <c r="U427" s="3"/>
      <c r="V427" s="3" t="s">
        <v>2850</v>
      </c>
      <c r="W427" s="3" t="s">
        <v>2851</v>
      </c>
      <c r="X427" s="2" t="n">
        <v>21</v>
      </c>
      <c r="Y427" s="2" t="n">
        <v>4</v>
      </c>
      <c r="Z427" s="2" t="s">
        <v>47</v>
      </c>
      <c r="AA427" s="3"/>
      <c r="AB427" s="5"/>
      <c r="AC427" s="5"/>
      <c r="AD427" s="3" t="s">
        <v>2852</v>
      </c>
      <c r="AE427" s="3" t="s">
        <v>2853</v>
      </c>
    </row>
    <row r="428" customFormat="false" ht="60" hidden="false" customHeight="true" outlineLevel="0" collapsed="false">
      <c r="A428" s="2" t="s">
        <v>2854</v>
      </c>
      <c r="B428" s="2" t="n">
        <v>2025</v>
      </c>
      <c r="C428" s="2" t="s">
        <v>389</v>
      </c>
      <c r="D428" s="2" t="s">
        <v>33</v>
      </c>
      <c r="E428" s="2" t="s">
        <v>1230</v>
      </c>
      <c r="F428" s="2" t="n">
        <v>5</v>
      </c>
      <c r="G428" s="2" t="s">
        <v>35</v>
      </c>
      <c r="H428" s="2" t="s">
        <v>1231</v>
      </c>
      <c r="I428" s="2" t="n">
        <v>8</v>
      </c>
      <c r="J428" s="2" t="n">
        <v>2</v>
      </c>
      <c r="K428" s="2" t="s">
        <v>64</v>
      </c>
      <c r="L428" s="2" t="s">
        <v>86</v>
      </c>
      <c r="M428" s="2" t="s">
        <v>37</v>
      </c>
      <c r="N428" s="2"/>
      <c r="O428" s="3" t="s">
        <v>2820</v>
      </c>
      <c r="P428" s="2" t="s">
        <v>201</v>
      </c>
      <c r="Q428" s="2" t="s">
        <v>202</v>
      </c>
      <c r="R428" s="2" t="s">
        <v>1681</v>
      </c>
      <c r="S428" s="2" t="s">
        <v>2855</v>
      </c>
      <c r="T428" s="3" t="s">
        <v>2856</v>
      </c>
      <c r="U428" s="3"/>
      <c r="V428" s="3" t="s">
        <v>2857</v>
      </c>
      <c r="W428" s="3" t="s">
        <v>2858</v>
      </c>
      <c r="X428" s="2" t="n">
        <v>23</v>
      </c>
      <c r="Y428" s="2" t="n">
        <v>4</v>
      </c>
      <c r="Z428" s="2" t="s">
        <v>47</v>
      </c>
      <c r="AA428" s="3"/>
      <c r="AB428" s="5"/>
      <c r="AC428" s="5"/>
      <c r="AD428" s="3" t="s">
        <v>2859</v>
      </c>
      <c r="AE428" s="3" t="s">
        <v>2860</v>
      </c>
    </row>
    <row r="429" customFormat="false" ht="60" hidden="false" customHeight="true" outlineLevel="0" collapsed="false">
      <c r="A429" s="2" t="s">
        <v>2861</v>
      </c>
      <c r="B429" s="2" t="n">
        <v>2025</v>
      </c>
      <c r="C429" s="2" t="s">
        <v>389</v>
      </c>
      <c r="D429" s="2" t="s">
        <v>33</v>
      </c>
      <c r="E429" s="2" t="s">
        <v>1230</v>
      </c>
      <c r="F429" s="2" t="n">
        <v>5</v>
      </c>
      <c r="G429" s="2" t="s">
        <v>52</v>
      </c>
      <c r="H429" s="2" t="s">
        <v>1231</v>
      </c>
      <c r="I429" s="2" t="n">
        <v>12</v>
      </c>
      <c r="J429" s="2" t="n">
        <v>4</v>
      </c>
      <c r="K429" s="2" t="s">
        <v>813</v>
      </c>
      <c r="L429" s="2"/>
      <c r="M429" s="2"/>
      <c r="N429" s="2"/>
      <c r="O429" s="3" t="s">
        <v>748</v>
      </c>
      <c r="P429" s="2" t="s">
        <v>39</v>
      </c>
      <c r="Q429" s="2" t="s">
        <v>40</v>
      </c>
      <c r="R429" s="2" t="s">
        <v>41</v>
      </c>
      <c r="S429" s="2" t="s">
        <v>405</v>
      </c>
      <c r="T429" s="3" t="s">
        <v>2862</v>
      </c>
      <c r="U429" s="3"/>
      <c r="V429" s="3" t="s">
        <v>2863</v>
      </c>
      <c r="W429" s="3" t="s">
        <v>2864</v>
      </c>
      <c r="X429" s="2" t="n">
        <v>24</v>
      </c>
      <c r="Y429" s="2" t="n">
        <v>4</v>
      </c>
      <c r="Z429" s="2" t="s">
        <v>47</v>
      </c>
      <c r="AA429" s="3"/>
      <c r="AB429" s="5"/>
      <c r="AC429" s="5"/>
      <c r="AD429" s="3" t="s">
        <v>2865</v>
      </c>
      <c r="AE429" s="3" t="s">
        <v>2866</v>
      </c>
    </row>
    <row r="430" customFormat="false" ht="60" hidden="false" customHeight="true" outlineLevel="0" collapsed="false">
      <c r="A430" s="2" t="s">
        <v>2867</v>
      </c>
      <c r="B430" s="2" t="n">
        <v>2025</v>
      </c>
      <c r="C430" s="2" t="s">
        <v>389</v>
      </c>
      <c r="D430" s="2" t="s">
        <v>316</v>
      </c>
      <c r="E430" s="2" t="s">
        <v>34</v>
      </c>
      <c r="F430" s="2" t="n">
        <v>1</v>
      </c>
      <c r="G430" s="2" t="s">
        <v>35</v>
      </c>
      <c r="H430" s="2"/>
      <c r="I430" s="2" t="n">
        <v>2</v>
      </c>
      <c r="J430" s="2" t="n">
        <v>0</v>
      </c>
      <c r="K430" s="2" t="s">
        <v>252</v>
      </c>
      <c r="L430" s="2"/>
      <c r="M430" s="2"/>
      <c r="N430" s="2"/>
      <c r="O430" s="3"/>
      <c r="P430" s="2" t="s">
        <v>1408</v>
      </c>
      <c r="Q430" s="2" t="s">
        <v>1409</v>
      </c>
      <c r="R430" s="2" t="s">
        <v>2868</v>
      </c>
      <c r="S430" s="2" t="s">
        <v>2869</v>
      </c>
      <c r="T430" s="3" t="s">
        <v>2870</v>
      </c>
      <c r="U430" s="3" t="s">
        <v>2871</v>
      </c>
      <c r="V430" s="3" t="s">
        <v>2872</v>
      </c>
      <c r="W430" s="3" t="s">
        <v>2873</v>
      </c>
      <c r="X430" s="2" t="n">
        <v>10</v>
      </c>
      <c r="Y430" s="2" t="n">
        <v>3</v>
      </c>
      <c r="Z430" s="2" t="s">
        <v>47</v>
      </c>
      <c r="AA430" s="4" t="s">
        <v>48</v>
      </c>
      <c r="AB430" s="5"/>
      <c r="AC430" s="5"/>
      <c r="AD430" s="3"/>
      <c r="AE430" s="3" t="s">
        <v>2874</v>
      </c>
    </row>
    <row r="431" customFormat="false" ht="60" hidden="false" customHeight="true" outlineLevel="0" collapsed="false">
      <c r="A431" s="2" t="s">
        <v>2875</v>
      </c>
      <c r="B431" s="2" t="n">
        <v>2025</v>
      </c>
      <c r="C431" s="2" t="s">
        <v>389</v>
      </c>
      <c r="D431" s="2" t="s">
        <v>316</v>
      </c>
      <c r="E431" s="2" t="s">
        <v>34</v>
      </c>
      <c r="F431" s="2" t="n">
        <v>1</v>
      </c>
      <c r="G431" s="2" t="s">
        <v>52</v>
      </c>
      <c r="H431" s="2"/>
      <c r="I431" s="2" t="n">
        <v>2</v>
      </c>
      <c r="J431" s="2" t="n">
        <v>0</v>
      </c>
      <c r="K431" s="2" t="s">
        <v>64</v>
      </c>
      <c r="L431" s="2"/>
      <c r="M431" s="2"/>
      <c r="N431" s="2"/>
      <c r="O431" s="3"/>
      <c r="P431" s="2" t="s">
        <v>332</v>
      </c>
      <c r="Q431" s="2" t="s">
        <v>333</v>
      </c>
      <c r="R431" s="2" t="s">
        <v>2711</v>
      </c>
      <c r="S431" s="2" t="s">
        <v>2876</v>
      </c>
      <c r="T431" s="3" t="s">
        <v>2877</v>
      </c>
      <c r="U431" s="3" t="s">
        <v>2871</v>
      </c>
      <c r="V431" s="3" t="s">
        <v>2878</v>
      </c>
      <c r="W431" s="3" t="s">
        <v>2879</v>
      </c>
      <c r="X431" s="2" t="n">
        <v>10</v>
      </c>
      <c r="Y431" s="2" t="n">
        <v>3</v>
      </c>
      <c r="Z431" s="2" t="s">
        <v>47</v>
      </c>
      <c r="AA431" s="4" t="s">
        <v>81</v>
      </c>
      <c r="AB431" s="5"/>
      <c r="AC431" s="5"/>
      <c r="AD431" s="3"/>
      <c r="AE431" s="3" t="s">
        <v>2880</v>
      </c>
    </row>
    <row r="432" customFormat="false" ht="60" hidden="false" customHeight="true" outlineLevel="0" collapsed="false">
      <c r="A432" s="2" t="s">
        <v>2881</v>
      </c>
      <c r="B432" s="2" t="n">
        <v>2025</v>
      </c>
      <c r="C432" s="2" t="s">
        <v>389</v>
      </c>
      <c r="D432" s="2" t="s">
        <v>316</v>
      </c>
      <c r="E432" s="2" t="s">
        <v>34</v>
      </c>
      <c r="F432" s="2" t="n">
        <v>1</v>
      </c>
      <c r="G432" s="2" t="s">
        <v>63</v>
      </c>
      <c r="H432" s="2"/>
      <c r="I432" s="2" t="n">
        <v>4</v>
      </c>
      <c r="J432" s="2" t="n">
        <v>1</v>
      </c>
      <c r="K432" s="2" t="s">
        <v>86</v>
      </c>
      <c r="L432" s="2"/>
      <c r="M432" s="2" t="s">
        <v>37</v>
      </c>
      <c r="N432" s="2"/>
      <c r="O432" s="3" t="s">
        <v>1402</v>
      </c>
      <c r="P432" s="2" t="s">
        <v>106</v>
      </c>
      <c r="Q432" s="2" t="s">
        <v>107</v>
      </c>
      <c r="R432" s="2" t="s">
        <v>108</v>
      </c>
      <c r="S432" s="2" t="s">
        <v>990</v>
      </c>
      <c r="T432" s="3" t="s">
        <v>2882</v>
      </c>
      <c r="U432" s="3" t="s">
        <v>2871</v>
      </c>
      <c r="V432" s="3" t="s">
        <v>2883</v>
      </c>
      <c r="W432" s="3" t="s">
        <v>2884</v>
      </c>
      <c r="X432" s="2" t="n">
        <v>10</v>
      </c>
      <c r="Y432" s="2" t="n">
        <v>3</v>
      </c>
      <c r="Z432" s="2" t="s">
        <v>47</v>
      </c>
      <c r="AA432" s="4" t="s">
        <v>69</v>
      </c>
      <c r="AB432" s="5"/>
      <c r="AC432" s="5"/>
      <c r="AD432" s="3" t="s">
        <v>2885</v>
      </c>
      <c r="AE432" s="3" t="s">
        <v>2886</v>
      </c>
    </row>
    <row r="433" customFormat="false" ht="60" hidden="false" customHeight="true" outlineLevel="0" collapsed="false">
      <c r="A433" s="2" t="s">
        <v>2887</v>
      </c>
      <c r="B433" s="2" t="n">
        <v>2025</v>
      </c>
      <c r="C433" s="2" t="s">
        <v>389</v>
      </c>
      <c r="D433" s="2" t="s">
        <v>316</v>
      </c>
      <c r="E433" s="2" t="s">
        <v>34</v>
      </c>
      <c r="F433" s="2" t="n">
        <v>1</v>
      </c>
      <c r="G433" s="2" t="s">
        <v>72</v>
      </c>
      <c r="H433" s="2"/>
      <c r="I433" s="2" t="n">
        <v>6</v>
      </c>
      <c r="J433" s="2" t="n">
        <v>2</v>
      </c>
      <c r="K433" s="2" t="s">
        <v>813</v>
      </c>
      <c r="L433" s="2"/>
      <c r="M433" s="2"/>
      <c r="N433" s="2"/>
      <c r="O433" s="3"/>
      <c r="P433" s="2" t="s">
        <v>151</v>
      </c>
      <c r="Q433" s="2" t="s">
        <v>152</v>
      </c>
      <c r="R433" s="2" t="s">
        <v>2888</v>
      </c>
      <c r="S433" s="2" t="s">
        <v>2889</v>
      </c>
      <c r="T433" s="3" t="s">
        <v>2890</v>
      </c>
      <c r="U433" s="3" t="s">
        <v>2871</v>
      </c>
      <c r="V433" s="3" t="s">
        <v>2891</v>
      </c>
      <c r="W433" s="3" t="s">
        <v>2892</v>
      </c>
      <c r="X433" s="2" t="n">
        <v>11</v>
      </c>
      <c r="Y433" s="2" t="n">
        <v>3</v>
      </c>
      <c r="Z433" s="2" t="s">
        <v>47</v>
      </c>
      <c r="AA433" s="4" t="s">
        <v>69</v>
      </c>
      <c r="AB433" s="5"/>
      <c r="AC433" s="5"/>
      <c r="AD433" s="3"/>
      <c r="AE433" s="3" t="s">
        <v>2893</v>
      </c>
    </row>
    <row r="434" customFormat="false" ht="60" hidden="false" customHeight="true" outlineLevel="0" collapsed="false">
      <c r="A434" s="2" t="s">
        <v>2894</v>
      </c>
      <c r="B434" s="2" t="n">
        <v>2025</v>
      </c>
      <c r="C434" s="2" t="s">
        <v>389</v>
      </c>
      <c r="D434" s="2" t="s">
        <v>316</v>
      </c>
      <c r="E434" s="2" t="s">
        <v>34</v>
      </c>
      <c r="F434" s="2" t="n">
        <v>1</v>
      </c>
      <c r="G434" s="2" t="s">
        <v>84</v>
      </c>
      <c r="H434" s="2"/>
      <c r="I434" s="2" t="n">
        <v>6</v>
      </c>
      <c r="J434" s="2" t="n">
        <v>2</v>
      </c>
      <c r="K434" s="2" t="s">
        <v>813</v>
      </c>
      <c r="L434" s="2"/>
      <c r="M434" s="2"/>
      <c r="N434" s="2"/>
      <c r="O434" s="3"/>
      <c r="P434" s="2" t="s">
        <v>201</v>
      </c>
      <c r="Q434" s="2" t="s">
        <v>202</v>
      </c>
      <c r="R434" s="2" t="s">
        <v>366</v>
      </c>
      <c r="S434" s="2" t="s">
        <v>2895</v>
      </c>
      <c r="T434" s="3" t="s">
        <v>2896</v>
      </c>
      <c r="U434" s="3" t="s">
        <v>2871</v>
      </c>
      <c r="V434" s="3" t="s">
        <v>2897</v>
      </c>
      <c r="W434" s="3" t="s">
        <v>2898</v>
      </c>
      <c r="X434" s="2" t="n">
        <v>12</v>
      </c>
      <c r="Y434" s="2" t="n">
        <v>3</v>
      </c>
      <c r="Z434" s="2" t="s">
        <v>47</v>
      </c>
      <c r="AA434" s="4" t="s">
        <v>69</v>
      </c>
      <c r="AB434" s="5"/>
      <c r="AC434" s="5"/>
      <c r="AD434" s="3"/>
      <c r="AE434" s="3" t="s">
        <v>2899</v>
      </c>
    </row>
    <row r="435" customFormat="false" ht="60" hidden="false" customHeight="true" outlineLevel="0" collapsed="false">
      <c r="A435" s="2" t="s">
        <v>2900</v>
      </c>
      <c r="B435" s="2" t="n">
        <v>2025</v>
      </c>
      <c r="C435" s="2" t="s">
        <v>389</v>
      </c>
      <c r="D435" s="2" t="s">
        <v>316</v>
      </c>
      <c r="E435" s="2" t="s">
        <v>104</v>
      </c>
      <c r="F435" s="2" t="n">
        <v>2</v>
      </c>
      <c r="G435" s="2" t="s">
        <v>35</v>
      </c>
      <c r="H435" s="2" t="s">
        <v>1199</v>
      </c>
      <c r="I435" s="2" t="n">
        <v>8</v>
      </c>
      <c r="J435" s="2" t="n">
        <v>2</v>
      </c>
      <c r="K435" s="2" t="s">
        <v>64</v>
      </c>
      <c r="L435" s="2" t="s">
        <v>86</v>
      </c>
      <c r="M435" s="2" t="s">
        <v>37</v>
      </c>
      <c r="N435" s="2"/>
      <c r="O435" s="3" t="s">
        <v>73</v>
      </c>
      <c r="P435" s="2" t="s">
        <v>142</v>
      </c>
      <c r="Q435" s="2" t="s">
        <v>143</v>
      </c>
      <c r="R435" s="2" t="s">
        <v>144</v>
      </c>
      <c r="S435" s="2" t="s">
        <v>879</v>
      </c>
      <c r="T435" s="3" t="s">
        <v>2901</v>
      </c>
      <c r="U435" s="3"/>
      <c r="V435" s="3" t="s">
        <v>2902</v>
      </c>
      <c r="W435" s="3" t="s">
        <v>2903</v>
      </c>
      <c r="X435" s="2" t="n">
        <v>13</v>
      </c>
      <c r="Y435" s="2" t="n">
        <v>4</v>
      </c>
      <c r="Z435" s="2" t="s">
        <v>47</v>
      </c>
      <c r="AA435" s="3"/>
      <c r="AB435" s="5"/>
      <c r="AC435" s="5"/>
      <c r="AD435" s="3"/>
      <c r="AE435" s="3" t="s">
        <v>2904</v>
      </c>
    </row>
    <row r="436" customFormat="false" ht="60" hidden="false" customHeight="true" outlineLevel="0" collapsed="false">
      <c r="A436" s="2" t="s">
        <v>2905</v>
      </c>
      <c r="B436" s="2" t="n">
        <v>2025</v>
      </c>
      <c r="C436" s="2" t="s">
        <v>389</v>
      </c>
      <c r="D436" s="2" t="s">
        <v>316</v>
      </c>
      <c r="E436" s="2" t="s">
        <v>104</v>
      </c>
      <c r="F436" s="2" t="n">
        <v>2</v>
      </c>
      <c r="G436" s="2" t="s">
        <v>52</v>
      </c>
      <c r="H436" s="2" t="s">
        <v>1199</v>
      </c>
      <c r="I436" s="2" t="n">
        <v>12</v>
      </c>
      <c r="J436" s="2" t="n">
        <v>4</v>
      </c>
      <c r="K436" s="2" t="s">
        <v>813</v>
      </c>
      <c r="L436" s="2"/>
      <c r="M436" s="2"/>
      <c r="N436" s="2"/>
      <c r="O436" s="3"/>
      <c r="P436" s="2" t="s">
        <v>151</v>
      </c>
      <c r="Q436" s="2" t="s">
        <v>152</v>
      </c>
      <c r="R436" s="2" t="s">
        <v>771</v>
      </c>
      <c r="S436" s="2" t="s">
        <v>2906</v>
      </c>
      <c r="T436" s="3" t="s">
        <v>2907</v>
      </c>
      <c r="U436" s="3"/>
      <c r="V436" s="3" t="s">
        <v>2908</v>
      </c>
      <c r="W436" s="3" t="s">
        <v>2909</v>
      </c>
      <c r="X436" s="2" t="n">
        <v>14</v>
      </c>
      <c r="Y436" s="2" t="n">
        <v>4</v>
      </c>
      <c r="Z436" s="2" t="s">
        <v>47</v>
      </c>
      <c r="AA436" s="3"/>
      <c r="AB436" s="5"/>
      <c r="AC436" s="5"/>
      <c r="AD436" s="3"/>
      <c r="AE436" s="3" t="s">
        <v>2910</v>
      </c>
    </row>
    <row r="437" customFormat="false" ht="60" hidden="false" customHeight="true" outlineLevel="0" collapsed="false">
      <c r="A437" s="2" t="s">
        <v>2911</v>
      </c>
      <c r="B437" s="2" t="n">
        <v>2025</v>
      </c>
      <c r="C437" s="2" t="s">
        <v>389</v>
      </c>
      <c r="D437" s="2" t="s">
        <v>316</v>
      </c>
      <c r="E437" s="2" t="s">
        <v>104</v>
      </c>
      <c r="F437" s="2" t="n">
        <v>3</v>
      </c>
      <c r="G437" s="2" t="s">
        <v>35</v>
      </c>
      <c r="H437" s="2" t="s">
        <v>1199</v>
      </c>
      <c r="I437" s="2" t="n">
        <v>8</v>
      </c>
      <c r="J437" s="2" t="n">
        <v>2</v>
      </c>
      <c r="K437" s="2" t="s">
        <v>64</v>
      </c>
      <c r="L437" s="2" t="s">
        <v>86</v>
      </c>
      <c r="M437" s="2"/>
      <c r="N437" s="2"/>
      <c r="O437" s="3"/>
      <c r="P437" s="2" t="s">
        <v>1214</v>
      </c>
      <c r="Q437" s="2" t="s">
        <v>1215</v>
      </c>
      <c r="R437" s="2" t="s">
        <v>1216</v>
      </c>
      <c r="S437" s="2" t="s">
        <v>2205</v>
      </c>
      <c r="T437" s="3" t="s">
        <v>2912</v>
      </c>
      <c r="U437" s="3"/>
      <c r="V437" s="3" t="s">
        <v>2913</v>
      </c>
      <c r="W437" s="3" t="s">
        <v>2914</v>
      </c>
      <c r="X437" s="2" t="n">
        <v>16</v>
      </c>
      <c r="Y437" s="2" t="n">
        <v>4</v>
      </c>
      <c r="Z437" s="2" t="s">
        <v>47</v>
      </c>
      <c r="AA437" s="3"/>
      <c r="AB437" s="5"/>
      <c r="AC437" s="5"/>
      <c r="AD437" s="3"/>
      <c r="AE437" s="3" t="s">
        <v>2915</v>
      </c>
    </row>
    <row r="438" customFormat="false" ht="60" hidden="false" customHeight="true" outlineLevel="0" collapsed="false">
      <c r="A438" s="2" t="s">
        <v>2916</v>
      </c>
      <c r="B438" s="2" t="n">
        <v>2025</v>
      </c>
      <c r="C438" s="2" t="s">
        <v>389</v>
      </c>
      <c r="D438" s="2" t="s">
        <v>316</v>
      </c>
      <c r="E438" s="2" t="s">
        <v>104</v>
      </c>
      <c r="F438" s="2" t="n">
        <v>3</v>
      </c>
      <c r="G438" s="2" t="s">
        <v>52</v>
      </c>
      <c r="H438" s="2" t="s">
        <v>1199</v>
      </c>
      <c r="I438" s="2" t="n">
        <v>12</v>
      </c>
      <c r="J438" s="2" t="n">
        <v>4</v>
      </c>
      <c r="K438" s="2" t="s">
        <v>813</v>
      </c>
      <c r="L438" s="2"/>
      <c r="M438" s="2"/>
      <c r="N438" s="2"/>
      <c r="O438" s="3"/>
      <c r="P438" s="2" t="s">
        <v>1214</v>
      </c>
      <c r="Q438" s="2" t="s">
        <v>1215</v>
      </c>
      <c r="R438" s="2" t="s">
        <v>1216</v>
      </c>
      <c r="S438" s="2" t="s">
        <v>2917</v>
      </c>
      <c r="T438" s="3" t="s">
        <v>2918</v>
      </c>
      <c r="U438" s="3"/>
      <c r="V438" s="3" t="s">
        <v>2919</v>
      </c>
      <c r="W438" s="3" t="s">
        <v>2920</v>
      </c>
      <c r="X438" s="2" t="n">
        <v>17</v>
      </c>
      <c r="Y438" s="2" t="n">
        <v>4</v>
      </c>
      <c r="Z438" s="2" t="s">
        <v>47</v>
      </c>
      <c r="AA438" s="3"/>
      <c r="AB438" s="5"/>
      <c r="AC438" s="5"/>
      <c r="AD438" s="3"/>
      <c r="AE438" s="3" t="s">
        <v>2921</v>
      </c>
    </row>
    <row r="439" customFormat="false" ht="60" hidden="false" customHeight="true" outlineLevel="0" collapsed="false">
      <c r="A439" s="2" t="s">
        <v>2922</v>
      </c>
      <c r="B439" s="2" t="n">
        <v>2025</v>
      </c>
      <c r="C439" s="2" t="s">
        <v>389</v>
      </c>
      <c r="D439" s="2" t="s">
        <v>316</v>
      </c>
      <c r="E439" s="2" t="s">
        <v>1230</v>
      </c>
      <c r="F439" s="2" t="n">
        <v>4</v>
      </c>
      <c r="G439" s="2" t="s">
        <v>35</v>
      </c>
      <c r="H439" s="2" t="s">
        <v>1231</v>
      </c>
      <c r="I439" s="2" t="n">
        <v>8</v>
      </c>
      <c r="J439" s="2" t="n">
        <v>2</v>
      </c>
      <c r="K439" s="2" t="s">
        <v>64</v>
      </c>
      <c r="L439" s="2" t="s">
        <v>86</v>
      </c>
      <c r="M439" s="2"/>
      <c r="N439" s="2"/>
      <c r="O439" s="3"/>
      <c r="P439" s="2" t="s">
        <v>39</v>
      </c>
      <c r="Q439" s="2" t="s">
        <v>40</v>
      </c>
      <c r="R439" s="2" t="s">
        <v>41</v>
      </c>
      <c r="S439" s="2" t="s">
        <v>1964</v>
      </c>
      <c r="T439" s="3" t="s">
        <v>2923</v>
      </c>
      <c r="U439" s="3"/>
      <c r="V439" s="3" t="s">
        <v>2924</v>
      </c>
      <c r="W439" s="3" t="s">
        <v>2925</v>
      </c>
      <c r="X439" s="2" t="n">
        <v>19</v>
      </c>
      <c r="Y439" s="2" t="n">
        <v>4</v>
      </c>
      <c r="Z439" s="2" t="s">
        <v>47</v>
      </c>
      <c r="AA439" s="3"/>
      <c r="AB439" s="5"/>
      <c r="AC439" s="5"/>
      <c r="AD439" s="3"/>
      <c r="AE439" s="3" t="s">
        <v>2926</v>
      </c>
    </row>
    <row r="440" customFormat="false" ht="60" hidden="false" customHeight="true" outlineLevel="0" collapsed="false">
      <c r="A440" s="2" t="s">
        <v>2927</v>
      </c>
      <c r="B440" s="2" t="n">
        <v>2025</v>
      </c>
      <c r="C440" s="2" t="s">
        <v>389</v>
      </c>
      <c r="D440" s="2" t="s">
        <v>316</v>
      </c>
      <c r="E440" s="2" t="s">
        <v>1230</v>
      </c>
      <c r="F440" s="2" t="n">
        <v>4</v>
      </c>
      <c r="G440" s="2" t="s">
        <v>52</v>
      </c>
      <c r="H440" s="2" t="s">
        <v>1231</v>
      </c>
      <c r="I440" s="2" t="n">
        <v>12</v>
      </c>
      <c r="J440" s="2" t="n">
        <v>4</v>
      </c>
      <c r="K440" s="2" t="s">
        <v>813</v>
      </c>
      <c r="L440" s="2"/>
      <c r="M440" s="2"/>
      <c r="N440" s="2"/>
      <c r="O440" s="3" t="s">
        <v>308</v>
      </c>
      <c r="P440" s="2" t="s">
        <v>115</v>
      </c>
      <c r="Q440" s="2" t="s">
        <v>116</v>
      </c>
      <c r="R440" s="2" t="s">
        <v>2928</v>
      </c>
      <c r="S440" s="2" t="s">
        <v>2929</v>
      </c>
      <c r="T440" s="3" t="s">
        <v>2930</v>
      </c>
      <c r="U440" s="3"/>
      <c r="V440" s="3" t="s">
        <v>2931</v>
      </c>
      <c r="W440" s="3" t="s">
        <v>2932</v>
      </c>
      <c r="X440" s="2" t="n">
        <v>20</v>
      </c>
      <c r="Y440" s="2" t="n">
        <v>4</v>
      </c>
      <c r="Z440" s="2" t="s">
        <v>47</v>
      </c>
      <c r="AA440" s="3"/>
      <c r="AB440" s="5"/>
      <c r="AC440" s="5"/>
      <c r="AD440" s="3" t="s">
        <v>2933</v>
      </c>
      <c r="AE440" s="3" t="s">
        <v>2934</v>
      </c>
    </row>
    <row r="441" customFormat="false" ht="60" hidden="false" customHeight="true" outlineLevel="0" collapsed="false">
      <c r="A441" s="2" t="s">
        <v>2935</v>
      </c>
      <c r="B441" s="2" t="n">
        <v>2025</v>
      </c>
      <c r="C441" s="2" t="s">
        <v>389</v>
      </c>
      <c r="D441" s="2" t="s">
        <v>316</v>
      </c>
      <c r="E441" s="2" t="s">
        <v>1230</v>
      </c>
      <c r="F441" s="2" t="n">
        <v>5</v>
      </c>
      <c r="G441" s="2" t="s">
        <v>35</v>
      </c>
      <c r="H441" s="2" t="s">
        <v>1231</v>
      </c>
      <c r="I441" s="2" t="n">
        <v>8</v>
      </c>
      <c r="J441" s="2" t="n">
        <v>2</v>
      </c>
      <c r="K441" s="2" t="s">
        <v>64</v>
      </c>
      <c r="L441" s="2" t="s">
        <v>86</v>
      </c>
      <c r="M441" s="2"/>
      <c r="N441" s="2"/>
      <c r="O441" s="3"/>
      <c r="P441" s="2" t="s">
        <v>164</v>
      </c>
      <c r="Q441" s="2" t="s">
        <v>165</v>
      </c>
      <c r="R441" s="2" t="s">
        <v>166</v>
      </c>
      <c r="S441" s="2" t="s">
        <v>930</v>
      </c>
      <c r="T441" s="3" t="s">
        <v>2936</v>
      </c>
      <c r="U441" s="3"/>
      <c r="V441" s="3" t="s">
        <v>2937</v>
      </c>
      <c r="W441" s="3" t="s">
        <v>2938</v>
      </c>
      <c r="X441" s="2" t="n">
        <v>22</v>
      </c>
      <c r="Y441" s="2" t="n">
        <v>4</v>
      </c>
      <c r="Z441" s="2" t="s">
        <v>47</v>
      </c>
      <c r="AA441" s="3"/>
      <c r="AB441" s="5"/>
      <c r="AC441" s="5"/>
      <c r="AD441" s="3" t="s">
        <v>2939</v>
      </c>
      <c r="AE441" s="3" t="s">
        <v>2940</v>
      </c>
    </row>
    <row r="442" customFormat="false" ht="60" hidden="false" customHeight="true" outlineLevel="0" collapsed="false">
      <c r="A442" s="2" t="s">
        <v>2941</v>
      </c>
      <c r="B442" s="2" t="n">
        <v>2025</v>
      </c>
      <c r="C442" s="2" t="s">
        <v>389</v>
      </c>
      <c r="D442" s="2" t="s">
        <v>316</v>
      </c>
      <c r="E442" s="2" t="s">
        <v>1230</v>
      </c>
      <c r="F442" s="2" t="n">
        <v>5</v>
      </c>
      <c r="G442" s="2" t="s">
        <v>52</v>
      </c>
      <c r="H442" s="2" t="s">
        <v>1231</v>
      </c>
      <c r="I442" s="2" t="n">
        <v>12</v>
      </c>
      <c r="J442" s="2" t="n">
        <v>4</v>
      </c>
      <c r="K442" s="2" t="s">
        <v>813</v>
      </c>
      <c r="L442" s="2"/>
      <c r="M442" s="2"/>
      <c r="N442" s="2"/>
      <c r="O442" s="3" t="s">
        <v>308</v>
      </c>
      <c r="P442" s="2" t="s">
        <v>466</v>
      </c>
      <c r="Q442" s="2" t="s">
        <v>467</v>
      </c>
      <c r="R442" s="2" t="s">
        <v>1006</v>
      </c>
      <c r="S442" s="2" t="s">
        <v>1007</v>
      </c>
      <c r="T442" s="3" t="s">
        <v>2942</v>
      </c>
      <c r="U442" s="3"/>
      <c r="V442" s="3" t="s">
        <v>2943</v>
      </c>
      <c r="W442" s="3" t="s">
        <v>2944</v>
      </c>
      <c r="X442" s="2" t="n">
        <v>23</v>
      </c>
      <c r="Y442" s="2" t="n">
        <v>4</v>
      </c>
      <c r="Z442" s="2" t="s">
        <v>47</v>
      </c>
      <c r="AA442" s="3"/>
      <c r="AB442" s="5"/>
      <c r="AC442" s="5"/>
      <c r="AD442" s="3" t="s">
        <v>2945</v>
      </c>
      <c r="AE442" s="3" t="s">
        <v>2946</v>
      </c>
    </row>
    <row r="443" customFormat="false" ht="60" hidden="false" customHeight="true" outlineLevel="0" collapsed="false">
      <c r="A443" s="2" t="s">
        <v>2947</v>
      </c>
      <c r="B443" s="2" t="n">
        <v>2025</v>
      </c>
      <c r="C443" s="2" t="s">
        <v>389</v>
      </c>
      <c r="D443" s="2" t="s">
        <v>2623</v>
      </c>
      <c r="E443" s="2" t="s">
        <v>34</v>
      </c>
      <c r="F443" s="2" t="n">
        <v>1</v>
      </c>
      <c r="G443" s="2" t="s">
        <v>35</v>
      </c>
      <c r="H443" s="2"/>
      <c r="I443" s="2" t="n">
        <v>2</v>
      </c>
      <c r="J443" s="2" t="n">
        <v>0</v>
      </c>
      <c r="K443" s="2" t="s">
        <v>252</v>
      </c>
      <c r="L443" s="2"/>
      <c r="M443" s="2"/>
      <c r="N443" s="2"/>
      <c r="O443" s="3"/>
      <c r="P443" s="2" t="s">
        <v>594</v>
      </c>
      <c r="Q443" s="2" t="s">
        <v>595</v>
      </c>
      <c r="R443" s="2" t="s">
        <v>1242</v>
      </c>
      <c r="S443" s="2" t="s">
        <v>1696</v>
      </c>
      <c r="T443" s="3" t="s">
        <v>2948</v>
      </c>
      <c r="U443" s="3" t="s">
        <v>2949</v>
      </c>
      <c r="V443" s="3" t="s">
        <v>2950</v>
      </c>
      <c r="W443" s="3" t="s">
        <v>2951</v>
      </c>
      <c r="X443" s="2" t="n">
        <v>11</v>
      </c>
      <c r="Y443" s="2" t="n">
        <v>3</v>
      </c>
      <c r="Z443" s="2" t="s">
        <v>47</v>
      </c>
      <c r="AA443" s="3"/>
      <c r="AB443" s="5"/>
      <c r="AC443" s="5"/>
      <c r="AD443" s="3"/>
      <c r="AE443" s="3" t="s">
        <v>2952</v>
      </c>
    </row>
    <row r="444" customFormat="false" ht="60" hidden="false" customHeight="true" outlineLevel="0" collapsed="false">
      <c r="A444" s="2" t="s">
        <v>2953</v>
      </c>
      <c r="B444" s="2" t="n">
        <v>2025</v>
      </c>
      <c r="C444" s="2" t="s">
        <v>389</v>
      </c>
      <c r="D444" s="2" t="s">
        <v>2623</v>
      </c>
      <c r="E444" s="2" t="s">
        <v>34</v>
      </c>
      <c r="F444" s="2" t="n">
        <v>1</v>
      </c>
      <c r="G444" s="2" t="s">
        <v>52</v>
      </c>
      <c r="H444" s="2"/>
      <c r="I444" s="2" t="n">
        <v>2</v>
      </c>
      <c r="J444" s="2" t="n">
        <v>0</v>
      </c>
      <c r="K444" s="2" t="s">
        <v>64</v>
      </c>
      <c r="L444" s="2"/>
      <c r="M444" s="2"/>
      <c r="N444" s="2"/>
      <c r="O444" s="3"/>
      <c r="P444" s="2" t="s">
        <v>594</v>
      </c>
      <c r="Q444" s="2" t="s">
        <v>595</v>
      </c>
      <c r="R444" s="2" t="s">
        <v>1534</v>
      </c>
      <c r="S444" s="2" t="s">
        <v>1535</v>
      </c>
      <c r="T444" s="3" t="s">
        <v>2954</v>
      </c>
      <c r="U444" s="3" t="s">
        <v>2949</v>
      </c>
      <c r="V444" s="3" t="s">
        <v>2955</v>
      </c>
      <c r="W444" s="3" t="s">
        <v>2956</v>
      </c>
      <c r="X444" s="2" t="n">
        <v>11</v>
      </c>
      <c r="Y444" s="2" t="n">
        <v>3</v>
      </c>
      <c r="Z444" s="2" t="s">
        <v>47</v>
      </c>
      <c r="AA444" s="3"/>
      <c r="AB444" s="5"/>
      <c r="AC444" s="5"/>
      <c r="AD444" s="3"/>
      <c r="AE444" s="3" t="s">
        <v>2957</v>
      </c>
    </row>
    <row r="445" customFormat="false" ht="60" hidden="false" customHeight="true" outlineLevel="0" collapsed="false">
      <c r="A445" s="2" t="s">
        <v>2958</v>
      </c>
      <c r="B445" s="2" t="n">
        <v>2025</v>
      </c>
      <c r="C445" s="2" t="s">
        <v>389</v>
      </c>
      <c r="D445" s="2" t="s">
        <v>2623</v>
      </c>
      <c r="E445" s="2" t="s">
        <v>34</v>
      </c>
      <c r="F445" s="2" t="n">
        <v>1</v>
      </c>
      <c r="G445" s="2" t="s">
        <v>63</v>
      </c>
      <c r="H445" s="2"/>
      <c r="I445" s="2" t="n">
        <v>4</v>
      </c>
      <c r="J445" s="2" t="n">
        <v>1</v>
      </c>
      <c r="K445" s="2" t="s">
        <v>64</v>
      </c>
      <c r="L445" s="2" t="s">
        <v>86</v>
      </c>
      <c r="M445" s="2" t="s">
        <v>37</v>
      </c>
      <c r="N445" s="2"/>
      <c r="O445" s="3" t="s">
        <v>1250</v>
      </c>
      <c r="P445" s="2" t="s">
        <v>142</v>
      </c>
      <c r="Q445" s="2" t="s">
        <v>143</v>
      </c>
      <c r="R445" s="2" t="s">
        <v>144</v>
      </c>
      <c r="S445" s="2" t="s">
        <v>1790</v>
      </c>
      <c r="T445" s="3" t="s">
        <v>2959</v>
      </c>
      <c r="U445" s="3" t="s">
        <v>2949</v>
      </c>
      <c r="V445" s="3" t="s">
        <v>2960</v>
      </c>
      <c r="W445" s="3" t="s">
        <v>2961</v>
      </c>
      <c r="X445" s="2" t="n">
        <v>11</v>
      </c>
      <c r="Y445" s="2" t="n">
        <v>3</v>
      </c>
      <c r="Z445" s="2" t="s">
        <v>47</v>
      </c>
      <c r="AA445" s="3"/>
      <c r="AB445" s="5"/>
      <c r="AC445" s="5"/>
      <c r="AD445" s="3"/>
      <c r="AE445" s="3" t="s">
        <v>2962</v>
      </c>
    </row>
    <row r="446" customFormat="false" ht="60" hidden="false" customHeight="true" outlineLevel="0" collapsed="false">
      <c r="A446" s="2" t="s">
        <v>2963</v>
      </c>
      <c r="B446" s="2" t="n">
        <v>2025</v>
      </c>
      <c r="C446" s="2" t="s">
        <v>389</v>
      </c>
      <c r="D446" s="2" t="s">
        <v>2623</v>
      </c>
      <c r="E446" s="2" t="s">
        <v>34</v>
      </c>
      <c r="F446" s="2" t="n">
        <v>1</v>
      </c>
      <c r="G446" s="2" t="s">
        <v>72</v>
      </c>
      <c r="H446" s="2"/>
      <c r="I446" s="2" t="n">
        <v>6</v>
      </c>
      <c r="J446" s="2" t="n">
        <v>2</v>
      </c>
      <c r="K446" s="2" t="s">
        <v>813</v>
      </c>
      <c r="L446" s="2"/>
      <c r="M446" s="2"/>
      <c r="N446" s="2"/>
      <c r="O446" s="3" t="s">
        <v>527</v>
      </c>
      <c r="P446" s="2" t="s">
        <v>39</v>
      </c>
      <c r="Q446" s="2" t="s">
        <v>40</v>
      </c>
      <c r="R446" s="2" t="s">
        <v>41</v>
      </c>
      <c r="S446" s="2" t="s">
        <v>405</v>
      </c>
      <c r="T446" s="3" t="s">
        <v>2964</v>
      </c>
      <c r="U446" s="3" t="s">
        <v>2949</v>
      </c>
      <c r="V446" s="3" t="s">
        <v>2965</v>
      </c>
      <c r="W446" s="3" t="s">
        <v>2966</v>
      </c>
      <c r="X446" s="2" t="n">
        <v>12</v>
      </c>
      <c r="Y446" s="2" t="n">
        <v>3</v>
      </c>
      <c r="Z446" s="2" t="s">
        <v>47</v>
      </c>
      <c r="AA446" s="3"/>
      <c r="AB446" s="5"/>
      <c r="AC446" s="5"/>
      <c r="AD446" s="3" t="s">
        <v>2967</v>
      </c>
      <c r="AE446" s="3" t="s">
        <v>2968</v>
      </c>
    </row>
    <row r="447" customFormat="false" ht="60" hidden="false" customHeight="true" outlineLevel="0" collapsed="false">
      <c r="A447" s="2" t="s">
        <v>2969</v>
      </c>
      <c r="B447" s="2" t="n">
        <v>2025</v>
      </c>
      <c r="C447" s="2" t="s">
        <v>389</v>
      </c>
      <c r="D447" s="2" t="s">
        <v>2623</v>
      </c>
      <c r="E447" s="2" t="s">
        <v>34</v>
      </c>
      <c r="F447" s="2" t="n">
        <v>1</v>
      </c>
      <c r="G447" s="2" t="s">
        <v>84</v>
      </c>
      <c r="H447" s="2"/>
      <c r="I447" s="2" t="n">
        <v>6</v>
      </c>
      <c r="J447" s="2" t="n">
        <v>2</v>
      </c>
      <c r="K447" s="2" t="s">
        <v>813</v>
      </c>
      <c r="L447" s="2"/>
      <c r="M447" s="2"/>
      <c r="N447" s="2"/>
      <c r="O447" s="3" t="s">
        <v>232</v>
      </c>
      <c r="P447" s="2" t="s">
        <v>87</v>
      </c>
      <c r="Q447" s="2" t="s">
        <v>88</v>
      </c>
      <c r="R447" s="2" t="s">
        <v>663</v>
      </c>
      <c r="S447" s="2" t="s">
        <v>636</v>
      </c>
      <c r="T447" s="3" t="s">
        <v>2970</v>
      </c>
      <c r="U447" s="3" t="s">
        <v>2949</v>
      </c>
      <c r="V447" s="3" t="s">
        <v>2971</v>
      </c>
      <c r="W447" s="3" t="s">
        <v>2972</v>
      </c>
      <c r="X447" s="2" t="n">
        <v>12</v>
      </c>
      <c r="Y447" s="2" t="n">
        <v>3</v>
      </c>
      <c r="Z447" s="2" t="s">
        <v>47</v>
      </c>
      <c r="AA447" s="3"/>
      <c r="AB447" s="5"/>
      <c r="AC447" s="5"/>
      <c r="AD447" s="3" t="s">
        <v>2973</v>
      </c>
      <c r="AE447" s="3" t="s">
        <v>2974</v>
      </c>
    </row>
    <row r="448" customFormat="false" ht="60" hidden="false" customHeight="true" outlineLevel="0" collapsed="false">
      <c r="A448" s="2" t="s">
        <v>2975</v>
      </c>
      <c r="B448" s="2" t="n">
        <v>2025</v>
      </c>
      <c r="C448" s="2" t="s">
        <v>389</v>
      </c>
      <c r="D448" s="2" t="s">
        <v>2623</v>
      </c>
      <c r="E448" s="2" t="s">
        <v>104</v>
      </c>
      <c r="F448" s="2" t="n">
        <v>2</v>
      </c>
      <c r="G448" s="2" t="s">
        <v>35</v>
      </c>
      <c r="H448" s="2" t="s">
        <v>1199</v>
      </c>
      <c r="I448" s="2" t="n">
        <v>8</v>
      </c>
      <c r="J448" s="2" t="n">
        <v>2</v>
      </c>
      <c r="K448" s="2" t="s">
        <v>64</v>
      </c>
      <c r="L448" s="2" t="s">
        <v>86</v>
      </c>
      <c r="M448" s="2"/>
      <c r="N448" s="2"/>
      <c r="O448" s="3" t="s">
        <v>232</v>
      </c>
      <c r="P448" s="2" t="s">
        <v>151</v>
      </c>
      <c r="Q448" s="2" t="s">
        <v>152</v>
      </c>
      <c r="R448" s="2" t="s">
        <v>771</v>
      </c>
      <c r="S448" s="2" t="s">
        <v>772</v>
      </c>
      <c r="T448" s="3" t="s">
        <v>773</v>
      </c>
      <c r="U448" s="3"/>
      <c r="V448" s="3" t="s">
        <v>2976</v>
      </c>
      <c r="W448" s="3" t="s">
        <v>2977</v>
      </c>
      <c r="X448" s="2" t="n">
        <v>13</v>
      </c>
      <c r="Y448" s="2" t="n">
        <v>4</v>
      </c>
      <c r="Z448" s="2" t="s">
        <v>47</v>
      </c>
      <c r="AA448" s="3"/>
      <c r="AB448" s="5"/>
      <c r="AC448" s="5"/>
      <c r="AD448" s="3"/>
      <c r="AE448" s="3" t="s">
        <v>2978</v>
      </c>
    </row>
    <row r="449" customFormat="false" ht="60" hidden="false" customHeight="true" outlineLevel="0" collapsed="false">
      <c r="A449" s="2" t="s">
        <v>2979</v>
      </c>
      <c r="B449" s="2" t="n">
        <v>2025</v>
      </c>
      <c r="C449" s="2" t="s">
        <v>389</v>
      </c>
      <c r="D449" s="2" t="s">
        <v>2623</v>
      </c>
      <c r="E449" s="2" t="s">
        <v>104</v>
      </c>
      <c r="F449" s="2" t="n">
        <v>2</v>
      </c>
      <c r="G449" s="2" t="s">
        <v>52</v>
      </c>
      <c r="H449" s="2" t="s">
        <v>1199</v>
      </c>
      <c r="I449" s="2" t="n">
        <v>12</v>
      </c>
      <c r="J449" s="2" t="n">
        <v>4</v>
      </c>
      <c r="K449" s="2" t="s">
        <v>813</v>
      </c>
      <c r="L449" s="2"/>
      <c r="M449" s="2"/>
      <c r="N449" s="2"/>
      <c r="O449" s="3" t="s">
        <v>232</v>
      </c>
      <c r="P449" s="2" t="s">
        <v>151</v>
      </c>
      <c r="Q449" s="2" t="s">
        <v>152</v>
      </c>
      <c r="R449" s="2" t="s">
        <v>281</v>
      </c>
      <c r="S449" s="2" t="s">
        <v>2980</v>
      </c>
      <c r="T449" s="3" t="s">
        <v>2981</v>
      </c>
      <c r="U449" s="3"/>
      <c r="V449" s="3" t="s">
        <v>2982</v>
      </c>
      <c r="W449" s="3" t="s">
        <v>2983</v>
      </c>
      <c r="X449" s="2" t="n">
        <v>15</v>
      </c>
      <c r="Y449" s="2" t="n">
        <v>4</v>
      </c>
      <c r="Z449" s="2" t="s">
        <v>47</v>
      </c>
      <c r="AA449" s="3"/>
      <c r="AB449" s="5"/>
      <c r="AC449" s="5"/>
      <c r="AD449" s="3"/>
      <c r="AE449" s="3" t="s">
        <v>2984</v>
      </c>
    </row>
    <row r="450" customFormat="false" ht="60" hidden="false" customHeight="true" outlineLevel="0" collapsed="false">
      <c r="A450" s="2" t="s">
        <v>2985</v>
      </c>
      <c r="B450" s="2" t="n">
        <v>2025</v>
      </c>
      <c r="C450" s="2" t="s">
        <v>389</v>
      </c>
      <c r="D450" s="2" t="s">
        <v>2623</v>
      </c>
      <c r="E450" s="2" t="s">
        <v>104</v>
      </c>
      <c r="F450" s="2" t="n">
        <v>3</v>
      </c>
      <c r="G450" s="2" t="s">
        <v>35</v>
      </c>
      <c r="H450" s="2" t="s">
        <v>1199</v>
      </c>
      <c r="I450" s="2" t="n">
        <v>8</v>
      </c>
      <c r="J450" s="2" t="n">
        <v>2</v>
      </c>
      <c r="K450" s="2" t="s">
        <v>64</v>
      </c>
      <c r="L450" s="2" t="s">
        <v>86</v>
      </c>
      <c r="M450" s="2"/>
      <c r="N450" s="2"/>
      <c r="O450" s="3" t="s">
        <v>232</v>
      </c>
      <c r="P450" s="2" t="s">
        <v>694</v>
      </c>
      <c r="Q450" s="2" t="s">
        <v>695</v>
      </c>
      <c r="R450" s="2" t="s">
        <v>696</v>
      </c>
      <c r="S450" s="2" t="s">
        <v>697</v>
      </c>
      <c r="T450" s="3" t="s">
        <v>2986</v>
      </c>
      <c r="U450" s="3"/>
      <c r="V450" s="3" t="s">
        <v>2987</v>
      </c>
      <c r="W450" s="3" t="s">
        <v>2988</v>
      </c>
      <c r="X450" s="2" t="n">
        <v>16</v>
      </c>
      <c r="Y450" s="2" t="n">
        <v>4</v>
      </c>
      <c r="Z450" s="2" t="s">
        <v>47</v>
      </c>
      <c r="AA450" s="3"/>
      <c r="AB450" s="5"/>
      <c r="AC450" s="5"/>
      <c r="AD450" s="3"/>
      <c r="AE450" s="3" t="s">
        <v>2989</v>
      </c>
    </row>
    <row r="451" customFormat="false" ht="60" hidden="false" customHeight="true" outlineLevel="0" collapsed="false">
      <c r="A451" s="2" t="s">
        <v>2990</v>
      </c>
      <c r="B451" s="2" t="n">
        <v>2025</v>
      </c>
      <c r="C451" s="2" t="s">
        <v>389</v>
      </c>
      <c r="D451" s="2" t="s">
        <v>2623</v>
      </c>
      <c r="E451" s="2" t="s">
        <v>104</v>
      </c>
      <c r="F451" s="2" t="n">
        <v>3</v>
      </c>
      <c r="G451" s="2" t="s">
        <v>52</v>
      </c>
      <c r="H451" s="2" t="s">
        <v>1199</v>
      </c>
      <c r="I451" s="2" t="n">
        <v>12</v>
      </c>
      <c r="J451" s="2" t="n">
        <v>4</v>
      </c>
      <c r="K451" s="2" t="s">
        <v>813</v>
      </c>
      <c r="L451" s="2"/>
      <c r="M451" s="2"/>
      <c r="N451" s="2"/>
      <c r="O451" s="3" t="s">
        <v>232</v>
      </c>
      <c r="P451" s="2" t="s">
        <v>124</v>
      </c>
      <c r="Q451" s="2" t="s">
        <v>125</v>
      </c>
      <c r="R451" s="2" t="s">
        <v>126</v>
      </c>
      <c r="S451" s="2" t="s">
        <v>847</v>
      </c>
      <c r="T451" s="3" t="s">
        <v>2991</v>
      </c>
      <c r="U451" s="3"/>
      <c r="V451" s="3" t="s">
        <v>2992</v>
      </c>
      <c r="W451" s="3" t="s">
        <v>2993</v>
      </c>
      <c r="X451" s="2" t="n">
        <v>17</v>
      </c>
      <c r="Y451" s="2" t="n">
        <v>4</v>
      </c>
      <c r="Z451" s="2" t="s">
        <v>47</v>
      </c>
      <c r="AA451" s="3"/>
      <c r="AB451" s="5"/>
      <c r="AC451" s="5"/>
      <c r="AD451" s="3"/>
      <c r="AE451" s="3" t="s">
        <v>2994</v>
      </c>
    </row>
    <row r="452" customFormat="false" ht="60" hidden="false" customHeight="true" outlineLevel="0" collapsed="false">
      <c r="A452" s="2" t="s">
        <v>2995</v>
      </c>
      <c r="B452" s="2" t="n">
        <v>2025</v>
      </c>
      <c r="C452" s="2" t="s">
        <v>389</v>
      </c>
      <c r="D452" s="2" t="s">
        <v>2623</v>
      </c>
      <c r="E452" s="2" t="s">
        <v>1230</v>
      </c>
      <c r="F452" s="2" t="n">
        <v>4</v>
      </c>
      <c r="G452" s="2" t="s">
        <v>35</v>
      </c>
      <c r="H452" s="2" t="s">
        <v>1231</v>
      </c>
      <c r="I452" s="2" t="n">
        <v>8</v>
      </c>
      <c r="J452" s="2" t="n">
        <v>2</v>
      </c>
      <c r="K452" s="2" t="s">
        <v>64</v>
      </c>
      <c r="L452" s="2" t="s">
        <v>86</v>
      </c>
      <c r="M452" s="2"/>
      <c r="N452" s="2"/>
      <c r="O452" s="3" t="s">
        <v>232</v>
      </c>
      <c r="P452" s="2" t="s">
        <v>133</v>
      </c>
      <c r="Q452" s="2" t="s">
        <v>134</v>
      </c>
      <c r="R452" s="2" t="s">
        <v>135</v>
      </c>
      <c r="S452" s="2" t="s">
        <v>2996</v>
      </c>
      <c r="T452" s="3" t="s">
        <v>2997</v>
      </c>
      <c r="U452" s="3"/>
      <c r="V452" s="3" t="s">
        <v>2998</v>
      </c>
      <c r="W452" s="3" t="s">
        <v>2999</v>
      </c>
      <c r="X452" s="2" t="n">
        <v>19</v>
      </c>
      <c r="Y452" s="2" t="n">
        <v>4</v>
      </c>
      <c r="Z452" s="2" t="s">
        <v>47</v>
      </c>
      <c r="AA452" s="3"/>
      <c r="AB452" s="5"/>
      <c r="AC452" s="5"/>
      <c r="AD452" s="3" t="s">
        <v>3000</v>
      </c>
      <c r="AE452" s="3" t="s">
        <v>3001</v>
      </c>
    </row>
    <row r="453" customFormat="false" ht="60" hidden="false" customHeight="true" outlineLevel="0" collapsed="false">
      <c r="A453" s="2" t="s">
        <v>3002</v>
      </c>
      <c r="B453" s="2" t="n">
        <v>2025</v>
      </c>
      <c r="C453" s="2" t="s">
        <v>389</v>
      </c>
      <c r="D453" s="2" t="s">
        <v>2623</v>
      </c>
      <c r="E453" s="2" t="s">
        <v>1230</v>
      </c>
      <c r="F453" s="2" t="n">
        <v>4</v>
      </c>
      <c r="G453" s="2" t="s">
        <v>52</v>
      </c>
      <c r="H453" s="2" t="s">
        <v>1231</v>
      </c>
      <c r="I453" s="2" t="n">
        <v>12</v>
      </c>
      <c r="J453" s="2" t="n">
        <v>4</v>
      </c>
      <c r="K453" s="2" t="s">
        <v>813</v>
      </c>
      <c r="L453" s="2"/>
      <c r="M453" s="2"/>
      <c r="N453" s="2"/>
      <c r="O453" s="3" t="s">
        <v>232</v>
      </c>
      <c r="P453" s="2" t="s">
        <v>193</v>
      </c>
      <c r="Q453" s="2" t="s">
        <v>194</v>
      </c>
      <c r="R453" s="2" t="s">
        <v>383</v>
      </c>
      <c r="S453" s="2" t="s">
        <v>3003</v>
      </c>
      <c r="T453" s="3" t="s">
        <v>3004</v>
      </c>
      <c r="U453" s="3"/>
      <c r="V453" s="3" t="s">
        <v>3005</v>
      </c>
      <c r="W453" s="3" t="s">
        <v>3006</v>
      </c>
      <c r="X453" s="2" t="n">
        <v>20</v>
      </c>
      <c r="Y453" s="2" t="n">
        <v>4</v>
      </c>
      <c r="Z453" s="2" t="s">
        <v>47</v>
      </c>
      <c r="AA453" s="3"/>
      <c r="AB453" s="5"/>
      <c r="AC453" s="5"/>
      <c r="AD453" s="3" t="s">
        <v>3007</v>
      </c>
      <c r="AE453" s="3" t="s">
        <v>3008</v>
      </c>
    </row>
    <row r="454" customFormat="false" ht="60" hidden="false" customHeight="true" outlineLevel="0" collapsed="false">
      <c r="A454" s="2" t="s">
        <v>3009</v>
      </c>
      <c r="B454" s="2" t="n">
        <v>2025</v>
      </c>
      <c r="C454" s="2" t="s">
        <v>389</v>
      </c>
      <c r="D454" s="2" t="s">
        <v>2623</v>
      </c>
      <c r="E454" s="2" t="s">
        <v>1230</v>
      </c>
      <c r="F454" s="2" t="n">
        <v>5</v>
      </c>
      <c r="G454" s="2" t="s">
        <v>35</v>
      </c>
      <c r="H454" s="2" t="s">
        <v>1231</v>
      </c>
      <c r="I454" s="2" t="n">
        <v>8</v>
      </c>
      <c r="J454" s="2" t="n">
        <v>2</v>
      </c>
      <c r="K454" s="2" t="s">
        <v>64</v>
      </c>
      <c r="L454" s="2" t="s">
        <v>86</v>
      </c>
      <c r="M454" s="2"/>
      <c r="N454" s="2"/>
      <c r="O454" s="3" t="s">
        <v>2438</v>
      </c>
      <c r="P454" s="2" t="s">
        <v>1266</v>
      </c>
      <c r="Q454" s="2" t="s">
        <v>1267</v>
      </c>
      <c r="R454" s="2" t="s">
        <v>1268</v>
      </c>
      <c r="S454" s="2" t="s">
        <v>1289</v>
      </c>
      <c r="T454" s="3" t="s">
        <v>3010</v>
      </c>
      <c r="U454" s="3"/>
      <c r="V454" s="3" t="s">
        <v>3011</v>
      </c>
      <c r="W454" s="3" t="s">
        <v>3012</v>
      </c>
      <c r="X454" s="2" t="n">
        <v>21</v>
      </c>
      <c r="Y454" s="2" t="n">
        <v>4</v>
      </c>
      <c r="Z454" s="2" t="s">
        <v>47</v>
      </c>
      <c r="AA454" s="3"/>
      <c r="AB454" s="5"/>
      <c r="AC454" s="5"/>
      <c r="AD454" s="3" t="s">
        <v>3013</v>
      </c>
      <c r="AE454" s="3" t="s">
        <v>3014</v>
      </c>
    </row>
    <row r="455" customFormat="false" ht="60" hidden="false" customHeight="true" outlineLevel="0" collapsed="false">
      <c r="A455" s="2" t="s">
        <v>3015</v>
      </c>
      <c r="B455" s="2" t="n">
        <v>2025</v>
      </c>
      <c r="C455" s="2" t="s">
        <v>389</v>
      </c>
      <c r="D455" s="2" t="s">
        <v>2623</v>
      </c>
      <c r="E455" s="2" t="s">
        <v>1230</v>
      </c>
      <c r="F455" s="2" t="n">
        <v>5</v>
      </c>
      <c r="G455" s="2" t="s">
        <v>52</v>
      </c>
      <c r="H455" s="2" t="s">
        <v>1231</v>
      </c>
      <c r="I455" s="2" t="n">
        <v>12</v>
      </c>
      <c r="J455" s="2" t="n">
        <v>4</v>
      </c>
      <c r="K455" s="2" t="s">
        <v>813</v>
      </c>
      <c r="L455" s="2"/>
      <c r="M455" s="2"/>
      <c r="N455" s="2"/>
      <c r="O455" s="3" t="s">
        <v>232</v>
      </c>
      <c r="P455" s="2" t="s">
        <v>115</v>
      </c>
      <c r="Q455" s="2" t="s">
        <v>116</v>
      </c>
      <c r="R455" s="2" t="s">
        <v>3016</v>
      </c>
      <c r="S455" s="2" t="s">
        <v>3017</v>
      </c>
      <c r="T455" s="3" t="s">
        <v>3018</v>
      </c>
      <c r="U455" s="3"/>
      <c r="V455" s="3" t="s">
        <v>3019</v>
      </c>
      <c r="W455" s="3" t="s">
        <v>3020</v>
      </c>
      <c r="X455" s="2" t="n">
        <v>22</v>
      </c>
      <c r="Y455" s="2" t="n">
        <v>4</v>
      </c>
      <c r="Z455" s="2" t="s">
        <v>47</v>
      </c>
      <c r="AA455" s="3"/>
      <c r="AB455" s="5"/>
      <c r="AC455" s="5"/>
      <c r="AD455" s="3"/>
      <c r="AE455" s="3" t="s">
        <v>3021</v>
      </c>
    </row>
    <row r="456" customFormat="false" ht="60" hidden="false" customHeight="true" outlineLevel="0" collapsed="false">
      <c r="A456" s="2" t="s">
        <v>3022</v>
      </c>
      <c r="B456" s="2" t="n">
        <v>2026</v>
      </c>
      <c r="C456" s="2" t="s">
        <v>160</v>
      </c>
      <c r="D456" s="2" t="s">
        <v>161</v>
      </c>
      <c r="E456" s="2" t="s">
        <v>34</v>
      </c>
      <c r="F456" s="2" t="n">
        <v>1</v>
      </c>
      <c r="G456" s="2" t="s">
        <v>35</v>
      </c>
      <c r="H456" s="2"/>
      <c r="I456" s="2" t="n">
        <v>2</v>
      </c>
      <c r="J456" s="2" t="n">
        <v>0</v>
      </c>
      <c r="K456" s="2" t="s">
        <v>64</v>
      </c>
      <c r="L456" s="2"/>
      <c r="M456" s="2"/>
      <c r="N456" s="2"/>
      <c r="O456" s="3" t="s">
        <v>38</v>
      </c>
      <c r="P456" s="2" t="s">
        <v>39</v>
      </c>
      <c r="Q456" s="2" t="s">
        <v>40</v>
      </c>
      <c r="R456" s="2" t="s">
        <v>41</v>
      </c>
      <c r="S456" s="2" t="s">
        <v>664</v>
      </c>
      <c r="T456" s="3" t="s">
        <v>3023</v>
      </c>
      <c r="U456" s="3" t="s">
        <v>3024</v>
      </c>
      <c r="V456" s="3" t="s">
        <v>3025</v>
      </c>
      <c r="W456" s="3" t="s">
        <v>3026</v>
      </c>
      <c r="X456" s="2" t="n">
        <v>9</v>
      </c>
      <c r="Y456" s="2" t="n">
        <v>3</v>
      </c>
      <c r="Z456" s="2" t="s">
        <v>47</v>
      </c>
      <c r="AA456" s="3"/>
      <c r="AB456" s="5"/>
      <c r="AC456" s="5"/>
      <c r="AD456" s="3"/>
      <c r="AE456" s="3" t="s">
        <v>3027</v>
      </c>
    </row>
    <row r="457" customFormat="false" ht="60" hidden="false" customHeight="true" outlineLevel="0" collapsed="false">
      <c r="A457" s="2" t="s">
        <v>3028</v>
      </c>
      <c r="B457" s="2" t="n">
        <v>2026</v>
      </c>
      <c r="C457" s="2" t="s">
        <v>160</v>
      </c>
      <c r="D457" s="2" t="s">
        <v>161</v>
      </c>
      <c r="E457" s="2" t="s">
        <v>34</v>
      </c>
      <c r="F457" s="2" t="n">
        <v>1</v>
      </c>
      <c r="G457" s="2" t="s">
        <v>52</v>
      </c>
      <c r="H457" s="2"/>
      <c r="I457" s="2" t="n">
        <v>2</v>
      </c>
      <c r="J457" s="2" t="n">
        <v>0</v>
      </c>
      <c r="K457" s="2" t="s">
        <v>280</v>
      </c>
      <c r="L457" s="2"/>
      <c r="M457" s="2"/>
      <c r="N457" s="2"/>
      <c r="O457" s="3"/>
      <c r="P457" s="2" t="s">
        <v>87</v>
      </c>
      <c r="Q457" s="2" t="s">
        <v>88</v>
      </c>
      <c r="R457" s="2" t="s">
        <v>1053</v>
      </c>
      <c r="S457" s="2" t="s">
        <v>1054</v>
      </c>
      <c r="T457" s="3" t="s">
        <v>3029</v>
      </c>
      <c r="U457" s="3" t="s">
        <v>3024</v>
      </c>
      <c r="V457" s="3" t="s">
        <v>3030</v>
      </c>
      <c r="W457" s="3" t="s">
        <v>3031</v>
      </c>
      <c r="X457" s="2" t="n">
        <v>9</v>
      </c>
      <c r="Y457" s="2" t="n">
        <v>3</v>
      </c>
      <c r="Z457" s="2" t="s">
        <v>47</v>
      </c>
      <c r="AA457" s="3"/>
      <c r="AB457" s="5"/>
      <c r="AC457" s="5"/>
      <c r="AD457" s="3"/>
      <c r="AE457" s="3" t="s">
        <v>3032</v>
      </c>
    </row>
    <row r="458" customFormat="false" ht="60" hidden="false" customHeight="true" outlineLevel="0" collapsed="false">
      <c r="A458" s="2" t="s">
        <v>3033</v>
      </c>
      <c r="B458" s="2" t="n">
        <v>2026</v>
      </c>
      <c r="C458" s="2" t="s">
        <v>160</v>
      </c>
      <c r="D458" s="2" t="s">
        <v>161</v>
      </c>
      <c r="E458" s="2" t="s">
        <v>34</v>
      </c>
      <c r="F458" s="2" t="n">
        <v>1</v>
      </c>
      <c r="G458" s="2" t="s">
        <v>63</v>
      </c>
      <c r="H458" s="2"/>
      <c r="I458" s="2" t="n">
        <v>4</v>
      </c>
      <c r="J458" s="2" t="n">
        <v>1</v>
      </c>
      <c r="K458" s="2" t="s">
        <v>64</v>
      </c>
      <c r="L458" s="2" t="s">
        <v>86</v>
      </c>
      <c r="M458" s="2" t="s">
        <v>37</v>
      </c>
      <c r="N458" s="2"/>
      <c r="O458" s="3" t="s">
        <v>1250</v>
      </c>
      <c r="P458" s="2" t="s">
        <v>74</v>
      </c>
      <c r="Q458" s="2" t="s">
        <v>75</v>
      </c>
      <c r="R458" s="2" t="s">
        <v>76</v>
      </c>
      <c r="S458" s="2" t="s">
        <v>3034</v>
      </c>
      <c r="T458" s="3" t="s">
        <v>3035</v>
      </c>
      <c r="U458" s="3" t="s">
        <v>3024</v>
      </c>
      <c r="V458" s="3" t="s">
        <v>3036</v>
      </c>
      <c r="W458" s="3" t="s">
        <v>3037</v>
      </c>
      <c r="X458" s="2" t="n">
        <v>9</v>
      </c>
      <c r="Y458" s="2" t="n">
        <v>3</v>
      </c>
      <c r="Z458" s="2" t="s">
        <v>47</v>
      </c>
      <c r="AA458" s="3"/>
      <c r="AB458" s="5"/>
      <c r="AC458" s="5"/>
      <c r="AD458" s="3"/>
      <c r="AE458" s="3" t="s">
        <v>3038</v>
      </c>
    </row>
    <row r="459" customFormat="false" ht="60" hidden="false" customHeight="true" outlineLevel="0" collapsed="false">
      <c r="A459" s="2" t="s">
        <v>3039</v>
      </c>
      <c r="B459" s="2" t="n">
        <v>2026</v>
      </c>
      <c r="C459" s="2" t="s">
        <v>160</v>
      </c>
      <c r="D459" s="2" t="s">
        <v>161</v>
      </c>
      <c r="E459" s="2" t="s">
        <v>34</v>
      </c>
      <c r="F459" s="2" t="n">
        <v>1</v>
      </c>
      <c r="G459" s="2" t="s">
        <v>72</v>
      </c>
      <c r="H459" s="2"/>
      <c r="I459" s="2" t="n">
        <v>6</v>
      </c>
      <c r="J459" s="2" t="n">
        <v>2</v>
      </c>
      <c r="K459" s="2" t="s">
        <v>813</v>
      </c>
      <c r="L459" s="2"/>
      <c r="M459" s="2"/>
      <c r="N459" s="2"/>
      <c r="O459" s="3" t="s">
        <v>527</v>
      </c>
      <c r="P459" s="2" t="s">
        <v>87</v>
      </c>
      <c r="Q459" s="2" t="s">
        <v>88</v>
      </c>
      <c r="R459" s="2" t="s">
        <v>505</v>
      </c>
      <c r="S459" s="2" t="s">
        <v>3040</v>
      </c>
      <c r="T459" s="3" t="s">
        <v>3041</v>
      </c>
      <c r="U459" s="3" t="s">
        <v>3024</v>
      </c>
      <c r="V459" s="3" t="s">
        <v>3042</v>
      </c>
      <c r="W459" s="3" t="s">
        <v>3043</v>
      </c>
      <c r="X459" s="2" t="n">
        <v>10</v>
      </c>
      <c r="Y459" s="2" t="n">
        <v>3</v>
      </c>
      <c r="Z459" s="2" t="s">
        <v>47</v>
      </c>
      <c r="AA459" s="3"/>
      <c r="AB459" s="5"/>
      <c r="AC459" s="5"/>
      <c r="AD459" s="3"/>
      <c r="AE459" s="3" t="s">
        <v>3044</v>
      </c>
    </row>
    <row r="460" customFormat="false" ht="60" hidden="false" customHeight="true" outlineLevel="0" collapsed="false">
      <c r="A460" s="2" t="s">
        <v>3045</v>
      </c>
      <c r="B460" s="2" t="n">
        <v>2026</v>
      </c>
      <c r="C460" s="2" t="s">
        <v>160</v>
      </c>
      <c r="D460" s="2" t="s">
        <v>161</v>
      </c>
      <c r="E460" s="2" t="s">
        <v>34</v>
      </c>
      <c r="F460" s="2" t="n">
        <v>1</v>
      </c>
      <c r="G460" s="2" t="s">
        <v>84</v>
      </c>
      <c r="H460" s="2"/>
      <c r="I460" s="2" t="n">
        <v>6</v>
      </c>
      <c r="J460" s="2" t="n">
        <v>2</v>
      </c>
      <c r="K460" s="2" t="s">
        <v>813</v>
      </c>
      <c r="L460" s="2"/>
      <c r="M460" s="2"/>
      <c r="N460" s="2"/>
      <c r="O460" s="3" t="s">
        <v>504</v>
      </c>
      <c r="P460" s="2" t="s">
        <v>594</v>
      </c>
      <c r="Q460" s="2" t="s">
        <v>595</v>
      </c>
      <c r="R460" s="2" t="s">
        <v>1534</v>
      </c>
      <c r="S460" s="2" t="s">
        <v>1243</v>
      </c>
      <c r="T460" s="3" t="s">
        <v>3046</v>
      </c>
      <c r="U460" s="3" t="s">
        <v>3024</v>
      </c>
      <c r="V460" s="3" t="s">
        <v>3047</v>
      </c>
      <c r="W460" s="3" t="s">
        <v>3048</v>
      </c>
      <c r="X460" s="2" t="n">
        <v>11</v>
      </c>
      <c r="Y460" s="2" t="n">
        <v>3</v>
      </c>
      <c r="Z460" s="2" t="s">
        <v>47</v>
      </c>
      <c r="AA460" s="3"/>
      <c r="AB460" s="5"/>
      <c r="AC460" s="5"/>
      <c r="AD460" s="3"/>
      <c r="AE460" s="3" t="s">
        <v>3049</v>
      </c>
    </row>
    <row r="461" customFormat="false" ht="60" hidden="false" customHeight="true" outlineLevel="0" collapsed="false">
      <c r="A461" s="2" t="s">
        <v>3050</v>
      </c>
      <c r="B461" s="2" t="n">
        <v>2026</v>
      </c>
      <c r="C461" s="2" t="s">
        <v>160</v>
      </c>
      <c r="D461" s="2" t="s">
        <v>161</v>
      </c>
      <c r="E461" s="2" t="s">
        <v>104</v>
      </c>
      <c r="F461" s="2" t="n">
        <v>2</v>
      </c>
      <c r="G461" s="2" t="s">
        <v>35</v>
      </c>
      <c r="H461" s="2" t="s">
        <v>1199</v>
      </c>
      <c r="I461" s="2" t="n">
        <v>8</v>
      </c>
      <c r="J461" s="2" t="n">
        <v>2</v>
      </c>
      <c r="K461" s="2" t="s">
        <v>64</v>
      </c>
      <c r="L461" s="2" t="s">
        <v>86</v>
      </c>
      <c r="M461" s="2"/>
      <c r="N461" s="2"/>
      <c r="O461" s="3" t="s">
        <v>308</v>
      </c>
      <c r="P461" s="2" t="s">
        <v>209</v>
      </c>
      <c r="Q461" s="2" t="s">
        <v>210</v>
      </c>
      <c r="R461" s="2" t="s">
        <v>340</v>
      </c>
      <c r="S461" s="2" t="s">
        <v>755</v>
      </c>
      <c r="T461" s="3" t="s">
        <v>3051</v>
      </c>
      <c r="U461" s="3"/>
      <c r="V461" s="3" t="s">
        <v>3052</v>
      </c>
      <c r="W461" s="3" t="s">
        <v>3053</v>
      </c>
      <c r="X461" s="2" t="n">
        <v>12</v>
      </c>
      <c r="Y461" s="2" t="n">
        <v>3</v>
      </c>
      <c r="Z461" s="2" t="s">
        <v>47</v>
      </c>
      <c r="AA461" s="3"/>
      <c r="AB461" s="5"/>
      <c r="AC461" s="5"/>
      <c r="AD461" s="3" t="s">
        <v>3054</v>
      </c>
      <c r="AE461" s="3" t="s">
        <v>3055</v>
      </c>
    </row>
    <row r="462" customFormat="false" ht="60" hidden="false" customHeight="true" outlineLevel="0" collapsed="false">
      <c r="A462" s="2" t="s">
        <v>3056</v>
      </c>
      <c r="B462" s="2" t="n">
        <v>2026</v>
      </c>
      <c r="C462" s="2" t="s">
        <v>160</v>
      </c>
      <c r="D462" s="2" t="s">
        <v>161</v>
      </c>
      <c r="E462" s="2" t="s">
        <v>104</v>
      </c>
      <c r="F462" s="2" t="n">
        <v>2</v>
      </c>
      <c r="G462" s="2" t="s">
        <v>52</v>
      </c>
      <c r="H462" s="2" t="s">
        <v>1199</v>
      </c>
      <c r="I462" s="2" t="n">
        <v>12</v>
      </c>
      <c r="J462" s="2" t="n">
        <v>4</v>
      </c>
      <c r="K462" s="2" t="s">
        <v>813</v>
      </c>
      <c r="L462" s="2"/>
      <c r="M462" s="2"/>
      <c r="N462" s="2"/>
      <c r="O462" s="3" t="s">
        <v>308</v>
      </c>
      <c r="P462" s="2" t="s">
        <v>151</v>
      </c>
      <c r="Q462" s="2" t="s">
        <v>152</v>
      </c>
      <c r="R462" s="2" t="s">
        <v>2418</v>
      </c>
      <c r="S462" s="2" t="s">
        <v>3057</v>
      </c>
      <c r="T462" s="3" t="s">
        <v>3058</v>
      </c>
      <c r="U462" s="3"/>
      <c r="V462" s="3" t="s">
        <v>3059</v>
      </c>
      <c r="W462" s="3" t="s">
        <v>3060</v>
      </c>
      <c r="X462" s="2" t="n">
        <v>13</v>
      </c>
      <c r="Y462" s="2" t="n">
        <v>3</v>
      </c>
      <c r="Z462" s="2" t="s">
        <v>47</v>
      </c>
      <c r="AA462" s="3"/>
      <c r="AB462" s="5"/>
      <c r="AC462" s="5"/>
      <c r="AD462" s="3"/>
      <c r="AE462" s="3" t="s">
        <v>3061</v>
      </c>
    </row>
    <row r="463" customFormat="false" ht="60" hidden="false" customHeight="true" outlineLevel="0" collapsed="false">
      <c r="A463" s="2" t="s">
        <v>3062</v>
      </c>
      <c r="B463" s="2" t="n">
        <v>2026</v>
      </c>
      <c r="C463" s="2" t="s">
        <v>160</v>
      </c>
      <c r="D463" s="2" t="s">
        <v>161</v>
      </c>
      <c r="E463" s="2" t="s">
        <v>104</v>
      </c>
      <c r="F463" s="2" t="n">
        <v>3</v>
      </c>
      <c r="G463" s="2" t="s">
        <v>35</v>
      </c>
      <c r="H463" s="2" t="s">
        <v>1199</v>
      </c>
      <c r="I463" s="2" t="n">
        <v>8</v>
      </c>
      <c r="J463" s="2" t="n">
        <v>2</v>
      </c>
      <c r="K463" s="2" t="s">
        <v>64</v>
      </c>
      <c r="L463" s="2" t="s">
        <v>86</v>
      </c>
      <c r="M463" s="2"/>
      <c r="N463" s="2"/>
      <c r="O463" s="3"/>
      <c r="P463" s="2" t="s">
        <v>1214</v>
      </c>
      <c r="Q463" s="2" t="s">
        <v>1215</v>
      </c>
      <c r="R463" s="2" t="s">
        <v>1216</v>
      </c>
      <c r="S463" s="2" t="s">
        <v>1217</v>
      </c>
      <c r="T463" s="3" t="s">
        <v>3063</v>
      </c>
      <c r="U463" s="3"/>
      <c r="V463" s="3" t="s">
        <v>3064</v>
      </c>
      <c r="W463" s="3" t="s">
        <v>3065</v>
      </c>
      <c r="X463" s="2" t="n">
        <v>14</v>
      </c>
      <c r="Y463" s="2" t="n">
        <v>3</v>
      </c>
      <c r="Z463" s="2" t="s">
        <v>47</v>
      </c>
      <c r="AA463" s="3"/>
      <c r="AB463" s="5"/>
      <c r="AC463" s="5"/>
      <c r="AD463" s="3"/>
      <c r="AE463" s="3" t="s">
        <v>3066</v>
      </c>
    </row>
    <row r="464" customFormat="false" ht="60" hidden="false" customHeight="true" outlineLevel="0" collapsed="false">
      <c r="A464" s="2" t="s">
        <v>3067</v>
      </c>
      <c r="B464" s="2" t="n">
        <v>2026</v>
      </c>
      <c r="C464" s="2" t="s">
        <v>160</v>
      </c>
      <c r="D464" s="2" t="s">
        <v>161</v>
      </c>
      <c r="E464" s="2" t="s">
        <v>104</v>
      </c>
      <c r="F464" s="2" t="n">
        <v>3</v>
      </c>
      <c r="G464" s="2" t="s">
        <v>52</v>
      </c>
      <c r="H464" s="2" t="s">
        <v>1199</v>
      </c>
      <c r="I464" s="2" t="n">
        <v>12</v>
      </c>
      <c r="J464" s="2" t="n">
        <v>4</v>
      </c>
      <c r="K464" s="2" t="s">
        <v>813</v>
      </c>
      <c r="L464" s="2"/>
      <c r="M464" s="2"/>
      <c r="N464" s="2"/>
      <c r="O464" s="3" t="s">
        <v>308</v>
      </c>
      <c r="P464" s="2" t="s">
        <v>1214</v>
      </c>
      <c r="Q464" s="2" t="s">
        <v>1215</v>
      </c>
      <c r="R464" s="2" t="s">
        <v>2211</v>
      </c>
      <c r="S464" s="2" t="s">
        <v>3068</v>
      </c>
      <c r="T464" s="3" t="s">
        <v>3069</v>
      </c>
      <c r="U464" s="3"/>
      <c r="V464" s="3" t="s">
        <v>3070</v>
      </c>
      <c r="W464" s="3" t="s">
        <v>3071</v>
      </c>
      <c r="X464" s="2" t="n">
        <v>15</v>
      </c>
      <c r="Y464" s="2" t="n">
        <v>3</v>
      </c>
      <c r="Z464" s="2" t="s">
        <v>47</v>
      </c>
      <c r="AA464" s="3"/>
      <c r="AB464" s="5" t="s">
        <v>2380</v>
      </c>
      <c r="AC464" s="5" t="s">
        <v>2381</v>
      </c>
      <c r="AD464" s="3" t="s">
        <v>3072</v>
      </c>
      <c r="AE464" s="3" t="s">
        <v>3073</v>
      </c>
    </row>
    <row r="465" customFormat="false" ht="60" hidden="false" customHeight="true" outlineLevel="0" collapsed="false">
      <c r="A465" s="2" t="s">
        <v>3074</v>
      </c>
      <c r="B465" s="2" t="n">
        <v>2026</v>
      </c>
      <c r="C465" s="2" t="s">
        <v>160</v>
      </c>
      <c r="D465" s="2" t="s">
        <v>161</v>
      </c>
      <c r="E465" s="2" t="s">
        <v>1230</v>
      </c>
      <c r="F465" s="2" t="n">
        <v>4</v>
      </c>
      <c r="G465" s="2" t="s">
        <v>35</v>
      </c>
      <c r="H465" s="2" t="s">
        <v>1231</v>
      </c>
      <c r="I465" s="2" t="n">
        <v>8</v>
      </c>
      <c r="J465" s="2" t="n">
        <v>2</v>
      </c>
      <c r="K465" s="2" t="s">
        <v>64</v>
      </c>
      <c r="L465" s="2" t="s">
        <v>86</v>
      </c>
      <c r="M465" s="2"/>
      <c r="N465" s="2"/>
      <c r="O465" s="3" t="s">
        <v>308</v>
      </c>
      <c r="P465" s="2" t="s">
        <v>1266</v>
      </c>
      <c r="Q465" s="2" t="s">
        <v>1267</v>
      </c>
      <c r="R465" s="2" t="s">
        <v>1268</v>
      </c>
      <c r="S465" s="2" t="s">
        <v>1289</v>
      </c>
      <c r="T465" s="3" t="s">
        <v>3075</v>
      </c>
      <c r="U465" s="3"/>
      <c r="V465" s="3" t="s">
        <v>3076</v>
      </c>
      <c r="W465" s="3" t="s">
        <v>3077</v>
      </c>
      <c r="X465" s="2" t="n">
        <v>17</v>
      </c>
      <c r="Y465" s="2" t="n">
        <v>4</v>
      </c>
      <c r="Z465" s="2" t="s">
        <v>47</v>
      </c>
      <c r="AA465" s="3"/>
      <c r="AB465" s="5"/>
      <c r="AC465" s="5"/>
      <c r="AD465" s="3" t="s">
        <v>3078</v>
      </c>
      <c r="AE465" s="3" t="s">
        <v>3079</v>
      </c>
    </row>
    <row r="466" customFormat="false" ht="60" hidden="false" customHeight="true" outlineLevel="0" collapsed="false">
      <c r="A466" s="2" t="s">
        <v>3080</v>
      </c>
      <c r="B466" s="2" t="n">
        <v>2026</v>
      </c>
      <c r="C466" s="2" t="s">
        <v>160</v>
      </c>
      <c r="D466" s="2" t="s">
        <v>161</v>
      </c>
      <c r="E466" s="2" t="s">
        <v>1230</v>
      </c>
      <c r="F466" s="2" t="n">
        <v>4</v>
      </c>
      <c r="G466" s="2" t="s">
        <v>52</v>
      </c>
      <c r="H466" s="2" t="s">
        <v>1231</v>
      </c>
      <c r="I466" s="2" t="n">
        <v>12</v>
      </c>
      <c r="J466" s="2" t="n">
        <v>4</v>
      </c>
      <c r="K466" s="2" t="s">
        <v>813</v>
      </c>
      <c r="L466" s="2"/>
      <c r="M466" s="2"/>
      <c r="N466" s="2"/>
      <c r="O466" s="3" t="s">
        <v>308</v>
      </c>
      <c r="P466" s="2" t="s">
        <v>54</v>
      </c>
      <c r="Q466" s="2" t="s">
        <v>55</v>
      </c>
      <c r="R466" s="2" t="s">
        <v>3081</v>
      </c>
      <c r="S466" s="2" t="s">
        <v>3082</v>
      </c>
      <c r="T466" s="3" t="s">
        <v>3083</v>
      </c>
      <c r="U466" s="3"/>
      <c r="V466" s="3" t="s">
        <v>3084</v>
      </c>
      <c r="W466" s="3" t="s">
        <v>3085</v>
      </c>
      <c r="X466" s="2" t="n">
        <v>18</v>
      </c>
      <c r="Y466" s="2" t="n">
        <v>4</v>
      </c>
      <c r="Z466" s="2" t="s">
        <v>47</v>
      </c>
      <c r="AA466" s="3"/>
      <c r="AB466" s="5"/>
      <c r="AC466" s="5"/>
      <c r="AD466" s="3"/>
      <c r="AE466" s="3" t="s">
        <v>3086</v>
      </c>
    </row>
    <row r="467" customFormat="false" ht="60" hidden="false" customHeight="true" outlineLevel="0" collapsed="false">
      <c r="A467" s="2" t="s">
        <v>3087</v>
      </c>
      <c r="B467" s="2" t="n">
        <v>2026</v>
      </c>
      <c r="C467" s="2" t="s">
        <v>160</v>
      </c>
      <c r="D467" s="2" t="s">
        <v>161</v>
      </c>
      <c r="E467" s="2" t="s">
        <v>1230</v>
      </c>
      <c r="F467" s="2" t="n">
        <v>5</v>
      </c>
      <c r="G467" s="2" t="s">
        <v>35</v>
      </c>
      <c r="H467" s="2" t="s">
        <v>1231</v>
      </c>
      <c r="I467" s="2" t="n">
        <v>8</v>
      </c>
      <c r="J467" s="2" t="n">
        <v>2</v>
      </c>
      <c r="K467" s="2" t="s">
        <v>64</v>
      </c>
      <c r="L467" s="2" t="s">
        <v>86</v>
      </c>
      <c r="M467" s="2"/>
      <c r="N467" s="2"/>
      <c r="O467" s="3" t="s">
        <v>308</v>
      </c>
      <c r="P467" s="2" t="s">
        <v>133</v>
      </c>
      <c r="Q467" s="2" t="s">
        <v>134</v>
      </c>
      <c r="R467" s="2" t="s">
        <v>135</v>
      </c>
      <c r="S467" s="2" t="s">
        <v>1600</v>
      </c>
      <c r="T467" s="3" t="s">
        <v>3088</v>
      </c>
      <c r="U467" s="3"/>
      <c r="V467" s="3" t="s">
        <v>3089</v>
      </c>
      <c r="W467" s="3" t="s">
        <v>3090</v>
      </c>
      <c r="X467" s="2" t="n">
        <v>19</v>
      </c>
      <c r="Y467" s="2" t="n">
        <v>4</v>
      </c>
      <c r="Z467" s="2" t="s">
        <v>47</v>
      </c>
      <c r="AA467" s="3"/>
      <c r="AB467" s="5"/>
      <c r="AC467" s="5"/>
      <c r="AD467" s="3"/>
      <c r="AE467" s="3" t="s">
        <v>3091</v>
      </c>
    </row>
    <row r="468" customFormat="false" ht="60" hidden="false" customHeight="true" outlineLevel="0" collapsed="false">
      <c r="A468" s="2" t="s">
        <v>3092</v>
      </c>
      <c r="B468" s="2" t="n">
        <v>2026</v>
      </c>
      <c r="C468" s="2" t="s">
        <v>160</v>
      </c>
      <c r="D468" s="2" t="s">
        <v>161</v>
      </c>
      <c r="E468" s="2" t="s">
        <v>1230</v>
      </c>
      <c r="F468" s="2" t="n">
        <v>5</v>
      </c>
      <c r="G468" s="2" t="s">
        <v>52</v>
      </c>
      <c r="H468" s="2" t="s">
        <v>1231</v>
      </c>
      <c r="I468" s="2" t="n">
        <v>12</v>
      </c>
      <c r="J468" s="2" t="n">
        <v>4</v>
      </c>
      <c r="K468" s="2" t="s">
        <v>813</v>
      </c>
      <c r="L468" s="2"/>
      <c r="M468" s="2"/>
      <c r="N468" s="2"/>
      <c r="O468" s="3" t="s">
        <v>308</v>
      </c>
      <c r="P468" s="2" t="s">
        <v>133</v>
      </c>
      <c r="Q468" s="2" t="s">
        <v>134</v>
      </c>
      <c r="R468" s="2" t="s">
        <v>274</v>
      </c>
      <c r="S468" s="2" t="s">
        <v>275</v>
      </c>
      <c r="T468" s="3" t="s">
        <v>3093</v>
      </c>
      <c r="U468" s="3"/>
      <c r="V468" s="3" t="s">
        <v>3094</v>
      </c>
      <c r="W468" s="3" t="s">
        <v>3095</v>
      </c>
      <c r="X468" s="2" t="n">
        <v>20</v>
      </c>
      <c r="Y468" s="2" t="n">
        <v>4</v>
      </c>
      <c r="Z468" s="2" t="s">
        <v>47</v>
      </c>
      <c r="AA468" s="3"/>
      <c r="AB468" s="5" t="s">
        <v>2380</v>
      </c>
      <c r="AC468" s="5" t="s">
        <v>2381</v>
      </c>
      <c r="AD468" s="3" t="s">
        <v>3096</v>
      </c>
      <c r="AE468" s="3" t="s">
        <v>3097</v>
      </c>
    </row>
    <row r="469" customFormat="false" ht="60" hidden="false" customHeight="true" outlineLevel="0" collapsed="false">
      <c r="A469" s="2" t="s">
        <v>3098</v>
      </c>
      <c r="B469" s="2" t="n">
        <v>2026</v>
      </c>
      <c r="C469" s="2" t="s">
        <v>160</v>
      </c>
      <c r="D469" s="2" t="s">
        <v>33</v>
      </c>
      <c r="E469" s="2" t="s">
        <v>34</v>
      </c>
      <c r="F469" s="2" t="n">
        <v>1</v>
      </c>
      <c r="G469" s="2" t="s">
        <v>35</v>
      </c>
      <c r="H469" s="2"/>
      <c r="I469" s="2" t="n">
        <v>2</v>
      </c>
      <c r="J469" s="2" t="n">
        <v>0</v>
      </c>
      <c r="K469" s="2" t="s">
        <v>36</v>
      </c>
      <c r="L469" s="2"/>
      <c r="M469" s="2"/>
      <c r="N469" s="2" t="s">
        <v>37</v>
      </c>
      <c r="O469" s="3" t="s">
        <v>38</v>
      </c>
      <c r="P469" s="2" t="s">
        <v>124</v>
      </c>
      <c r="Q469" s="2" t="s">
        <v>125</v>
      </c>
      <c r="R469" s="2" t="s">
        <v>126</v>
      </c>
      <c r="S469" s="2" t="s">
        <v>3099</v>
      </c>
      <c r="T469" s="3" t="s">
        <v>3100</v>
      </c>
      <c r="U469" s="3" t="s">
        <v>3101</v>
      </c>
      <c r="V469" s="3" t="s">
        <v>3102</v>
      </c>
      <c r="W469" s="3" t="s">
        <v>3103</v>
      </c>
      <c r="X469" s="2" t="n">
        <v>9</v>
      </c>
      <c r="Y469" s="2" t="n">
        <v>3</v>
      </c>
      <c r="Z469" s="2" t="s">
        <v>47</v>
      </c>
      <c r="AA469" s="4" t="s">
        <v>3104</v>
      </c>
      <c r="AB469" s="5" t="s">
        <v>2380</v>
      </c>
      <c r="AC469" s="5" t="s">
        <v>2381</v>
      </c>
      <c r="AD469" s="3"/>
      <c r="AE469" s="3" t="s">
        <v>3105</v>
      </c>
    </row>
    <row r="470" customFormat="false" ht="60" hidden="false" customHeight="true" outlineLevel="0" collapsed="false">
      <c r="A470" s="2" t="s">
        <v>3106</v>
      </c>
      <c r="B470" s="2" t="n">
        <v>2026</v>
      </c>
      <c r="C470" s="2" t="s">
        <v>160</v>
      </c>
      <c r="D470" s="2" t="s">
        <v>33</v>
      </c>
      <c r="E470" s="2" t="s">
        <v>34</v>
      </c>
      <c r="F470" s="2" t="n">
        <v>1</v>
      </c>
      <c r="G470" s="2" t="s">
        <v>52</v>
      </c>
      <c r="H470" s="2"/>
      <c r="I470" s="2" t="n">
        <v>2</v>
      </c>
      <c r="J470" s="2" t="n">
        <v>0</v>
      </c>
      <c r="K470" s="2" t="s">
        <v>280</v>
      </c>
      <c r="L470" s="2"/>
      <c r="M470" s="2"/>
      <c r="N470" s="2"/>
      <c r="O470" s="3"/>
      <c r="P470" s="2" t="s">
        <v>124</v>
      </c>
      <c r="Q470" s="2" t="s">
        <v>125</v>
      </c>
      <c r="R470" s="2" t="s">
        <v>126</v>
      </c>
      <c r="S470" s="2" t="s">
        <v>3107</v>
      </c>
      <c r="T470" s="3" t="s">
        <v>3108</v>
      </c>
      <c r="U470" s="3" t="s">
        <v>3101</v>
      </c>
      <c r="V470" s="3" t="s">
        <v>3109</v>
      </c>
      <c r="W470" s="3" t="s">
        <v>3110</v>
      </c>
      <c r="X470" s="2" t="n">
        <v>9</v>
      </c>
      <c r="Y470" s="2" t="n">
        <v>3</v>
      </c>
      <c r="Z470" s="2" t="s">
        <v>47</v>
      </c>
      <c r="AA470" s="4" t="s">
        <v>81</v>
      </c>
      <c r="AB470" s="5"/>
      <c r="AC470" s="5"/>
      <c r="AD470" s="3"/>
      <c r="AE470" s="3" t="s">
        <v>3111</v>
      </c>
    </row>
    <row r="471" customFormat="false" ht="60" hidden="false" customHeight="true" outlineLevel="0" collapsed="false">
      <c r="A471" s="2" t="s">
        <v>3112</v>
      </c>
      <c r="B471" s="2" t="n">
        <v>2026</v>
      </c>
      <c r="C471" s="2" t="s">
        <v>160</v>
      </c>
      <c r="D471" s="2" t="s">
        <v>33</v>
      </c>
      <c r="E471" s="2" t="s">
        <v>34</v>
      </c>
      <c r="F471" s="2" t="n">
        <v>1</v>
      </c>
      <c r="G471" s="2" t="s">
        <v>63</v>
      </c>
      <c r="H471" s="2"/>
      <c r="I471" s="2" t="n">
        <v>4</v>
      </c>
      <c r="J471" s="2" t="n">
        <v>1</v>
      </c>
      <c r="K471" s="2" t="s">
        <v>64</v>
      </c>
      <c r="L471" s="2" t="s">
        <v>86</v>
      </c>
      <c r="M471" s="2" t="s">
        <v>37</v>
      </c>
      <c r="N471" s="2"/>
      <c r="O471" s="3" t="s">
        <v>1250</v>
      </c>
      <c r="P471" s="2" t="s">
        <v>151</v>
      </c>
      <c r="Q471" s="2" t="s">
        <v>152</v>
      </c>
      <c r="R471" s="2" t="s">
        <v>3113</v>
      </c>
      <c r="S471" s="2" t="s">
        <v>3114</v>
      </c>
      <c r="T471" s="3" t="s">
        <v>3115</v>
      </c>
      <c r="U471" s="3" t="s">
        <v>3101</v>
      </c>
      <c r="V471" s="3" t="s">
        <v>3116</v>
      </c>
      <c r="W471" s="3" t="s">
        <v>3117</v>
      </c>
      <c r="X471" s="2" t="n">
        <v>10</v>
      </c>
      <c r="Y471" s="2" t="n">
        <v>3</v>
      </c>
      <c r="Z471" s="2" t="s">
        <v>47</v>
      </c>
      <c r="AA471" s="4" t="s">
        <v>69</v>
      </c>
      <c r="AB471" s="5"/>
      <c r="AC471" s="5"/>
      <c r="AD471" s="3" t="s">
        <v>3118</v>
      </c>
      <c r="AE471" s="3" t="s">
        <v>3119</v>
      </c>
    </row>
    <row r="472" customFormat="false" ht="60" hidden="false" customHeight="true" outlineLevel="0" collapsed="false">
      <c r="A472" s="2" t="s">
        <v>3120</v>
      </c>
      <c r="B472" s="2" t="n">
        <v>2026</v>
      </c>
      <c r="C472" s="2" t="s">
        <v>160</v>
      </c>
      <c r="D472" s="2" t="s">
        <v>33</v>
      </c>
      <c r="E472" s="2" t="s">
        <v>34</v>
      </c>
      <c r="F472" s="2" t="n">
        <v>1</v>
      </c>
      <c r="G472" s="2" t="s">
        <v>72</v>
      </c>
      <c r="H472" s="2"/>
      <c r="I472" s="2" t="n">
        <v>6</v>
      </c>
      <c r="J472" s="2" t="n">
        <v>2</v>
      </c>
      <c r="K472" s="2" t="s">
        <v>813</v>
      </c>
      <c r="L472" s="2"/>
      <c r="M472" s="2"/>
      <c r="N472" s="2"/>
      <c r="O472" s="3"/>
      <c r="P472" s="2" t="s">
        <v>54</v>
      </c>
      <c r="Q472" s="2" t="s">
        <v>55</v>
      </c>
      <c r="R472" s="2" t="s">
        <v>97</v>
      </c>
      <c r="S472" s="2" t="s">
        <v>3121</v>
      </c>
      <c r="T472" s="3" t="s">
        <v>3122</v>
      </c>
      <c r="U472" s="3" t="s">
        <v>3101</v>
      </c>
      <c r="V472" s="3" t="s">
        <v>3123</v>
      </c>
      <c r="W472" s="3" t="s">
        <v>3124</v>
      </c>
      <c r="X472" s="2" t="n">
        <v>11</v>
      </c>
      <c r="Y472" s="2" t="n">
        <v>3</v>
      </c>
      <c r="Z472" s="2" t="s">
        <v>47</v>
      </c>
      <c r="AA472" s="4" t="s">
        <v>81</v>
      </c>
      <c r="AB472" s="5"/>
      <c r="AC472" s="5"/>
      <c r="AD472" s="3"/>
      <c r="AE472" s="3" t="s">
        <v>3125</v>
      </c>
    </row>
    <row r="473" customFormat="false" ht="60" hidden="false" customHeight="true" outlineLevel="0" collapsed="false">
      <c r="A473" s="2" t="s">
        <v>3126</v>
      </c>
      <c r="B473" s="2" t="n">
        <v>2026</v>
      </c>
      <c r="C473" s="2" t="s">
        <v>160</v>
      </c>
      <c r="D473" s="2" t="s">
        <v>33</v>
      </c>
      <c r="E473" s="2" t="s">
        <v>34</v>
      </c>
      <c r="F473" s="2" t="n">
        <v>1</v>
      </c>
      <c r="G473" s="2" t="s">
        <v>84</v>
      </c>
      <c r="H473" s="2"/>
      <c r="I473" s="2" t="n">
        <v>6</v>
      </c>
      <c r="J473" s="2" t="n">
        <v>2</v>
      </c>
      <c r="K473" s="2" t="s">
        <v>813</v>
      </c>
      <c r="L473" s="2"/>
      <c r="M473" s="2"/>
      <c r="N473" s="2"/>
      <c r="O473" s="3" t="s">
        <v>527</v>
      </c>
      <c r="P473" s="2" t="s">
        <v>193</v>
      </c>
      <c r="Q473" s="2" t="s">
        <v>194</v>
      </c>
      <c r="R473" s="2" t="s">
        <v>383</v>
      </c>
      <c r="S473" s="2" t="s">
        <v>3003</v>
      </c>
      <c r="T473" s="3" t="s">
        <v>3127</v>
      </c>
      <c r="U473" s="3" t="s">
        <v>3101</v>
      </c>
      <c r="V473" s="3" t="s">
        <v>3128</v>
      </c>
      <c r="W473" s="3" t="s">
        <v>3129</v>
      </c>
      <c r="X473" s="2" t="n">
        <v>12</v>
      </c>
      <c r="Y473" s="2" t="n">
        <v>3</v>
      </c>
      <c r="Z473" s="2" t="s">
        <v>47</v>
      </c>
      <c r="AA473" s="4" t="s">
        <v>69</v>
      </c>
      <c r="AB473" s="5"/>
      <c r="AC473" s="5"/>
      <c r="AD473" s="3" t="s">
        <v>3130</v>
      </c>
      <c r="AE473" s="3" t="s">
        <v>3131</v>
      </c>
    </row>
    <row r="474" customFormat="false" ht="60" hidden="false" customHeight="true" outlineLevel="0" collapsed="false">
      <c r="A474" s="2" t="s">
        <v>3132</v>
      </c>
      <c r="B474" s="2" t="n">
        <v>2026</v>
      </c>
      <c r="C474" s="2" t="s">
        <v>160</v>
      </c>
      <c r="D474" s="2" t="s">
        <v>33</v>
      </c>
      <c r="E474" s="2" t="s">
        <v>104</v>
      </c>
      <c r="F474" s="2" t="n">
        <v>2</v>
      </c>
      <c r="G474" s="2" t="s">
        <v>35</v>
      </c>
      <c r="H474" s="2" t="s">
        <v>1199</v>
      </c>
      <c r="I474" s="2" t="n">
        <v>8</v>
      </c>
      <c r="J474" s="2" t="n">
        <v>2</v>
      </c>
      <c r="K474" s="2" t="s">
        <v>64</v>
      </c>
      <c r="L474" s="2" t="s">
        <v>86</v>
      </c>
      <c r="M474" s="2"/>
      <c r="N474" s="2"/>
      <c r="O474" s="3" t="s">
        <v>2438</v>
      </c>
      <c r="P474" s="2" t="s">
        <v>209</v>
      </c>
      <c r="Q474" s="2" t="s">
        <v>210</v>
      </c>
      <c r="R474" s="2" t="s">
        <v>2583</v>
      </c>
      <c r="S474" s="2" t="s">
        <v>3133</v>
      </c>
      <c r="T474" s="3" t="s">
        <v>3134</v>
      </c>
      <c r="U474" s="3"/>
      <c r="V474" s="3" t="s">
        <v>3135</v>
      </c>
      <c r="W474" s="3" t="s">
        <v>3136</v>
      </c>
      <c r="X474" s="2" t="n">
        <v>13</v>
      </c>
      <c r="Y474" s="2" t="n">
        <v>4</v>
      </c>
      <c r="Z474" s="2" t="s">
        <v>47</v>
      </c>
      <c r="AA474" s="3"/>
      <c r="AB474" s="5"/>
      <c r="AC474" s="5"/>
      <c r="AD474" s="3" t="s">
        <v>3137</v>
      </c>
      <c r="AE474" s="3" t="s">
        <v>3138</v>
      </c>
    </row>
    <row r="475" customFormat="false" ht="60" hidden="false" customHeight="true" outlineLevel="0" collapsed="false">
      <c r="A475" s="2" t="s">
        <v>3139</v>
      </c>
      <c r="B475" s="2" t="n">
        <v>2026</v>
      </c>
      <c r="C475" s="2" t="s">
        <v>160</v>
      </c>
      <c r="D475" s="2" t="s">
        <v>33</v>
      </c>
      <c r="E475" s="2" t="s">
        <v>104</v>
      </c>
      <c r="F475" s="2" t="n">
        <v>2</v>
      </c>
      <c r="G475" s="2" t="s">
        <v>52</v>
      </c>
      <c r="H475" s="2" t="s">
        <v>1199</v>
      </c>
      <c r="I475" s="2" t="n">
        <v>12</v>
      </c>
      <c r="J475" s="2" t="n">
        <v>4</v>
      </c>
      <c r="K475" s="2" t="s">
        <v>813</v>
      </c>
      <c r="L475" s="2"/>
      <c r="M475" s="2"/>
      <c r="N475" s="2"/>
      <c r="O475" s="3" t="s">
        <v>1912</v>
      </c>
      <c r="P475" s="2" t="s">
        <v>209</v>
      </c>
      <c r="Q475" s="2" t="s">
        <v>210</v>
      </c>
      <c r="R475" s="2" t="s">
        <v>3140</v>
      </c>
      <c r="S475" s="2" t="s">
        <v>3141</v>
      </c>
      <c r="T475" s="3" t="s">
        <v>3142</v>
      </c>
      <c r="U475" s="3"/>
      <c r="V475" s="3" t="s">
        <v>3143</v>
      </c>
      <c r="W475" s="3" t="s">
        <v>3144</v>
      </c>
      <c r="X475" s="2" t="n">
        <v>15</v>
      </c>
      <c r="Y475" s="2" t="n">
        <v>4</v>
      </c>
      <c r="Z475" s="2" t="s">
        <v>47</v>
      </c>
      <c r="AA475" s="3"/>
      <c r="AB475" s="5" t="s">
        <v>2380</v>
      </c>
      <c r="AC475" s="5" t="s">
        <v>2381</v>
      </c>
      <c r="AD475" s="3"/>
      <c r="AE475" s="3" t="s">
        <v>3145</v>
      </c>
    </row>
    <row r="476" customFormat="false" ht="60" hidden="false" customHeight="true" outlineLevel="0" collapsed="false">
      <c r="A476" s="2" t="s">
        <v>3146</v>
      </c>
      <c r="B476" s="2" t="n">
        <v>2026</v>
      </c>
      <c r="C476" s="2" t="s">
        <v>160</v>
      </c>
      <c r="D476" s="2" t="s">
        <v>33</v>
      </c>
      <c r="E476" s="2" t="s">
        <v>104</v>
      </c>
      <c r="F476" s="2" t="n">
        <v>3</v>
      </c>
      <c r="G476" s="2" t="s">
        <v>35</v>
      </c>
      <c r="H476" s="2" t="s">
        <v>1199</v>
      </c>
      <c r="I476" s="2" t="n">
        <v>8</v>
      </c>
      <c r="J476" s="2" t="n">
        <v>2</v>
      </c>
      <c r="K476" s="2" t="s">
        <v>64</v>
      </c>
      <c r="L476" s="2" t="s">
        <v>86</v>
      </c>
      <c r="M476" s="2" t="s">
        <v>37</v>
      </c>
      <c r="N476" s="2"/>
      <c r="O476" s="3" t="s">
        <v>1402</v>
      </c>
      <c r="P476" s="2" t="s">
        <v>142</v>
      </c>
      <c r="Q476" s="2" t="s">
        <v>143</v>
      </c>
      <c r="R476" s="2" t="s">
        <v>3147</v>
      </c>
      <c r="S476" s="2" t="s">
        <v>3148</v>
      </c>
      <c r="T476" s="3" t="s">
        <v>3149</v>
      </c>
      <c r="U476" s="3"/>
      <c r="V476" s="3" t="s">
        <v>3150</v>
      </c>
      <c r="W476" s="3" t="s">
        <v>3151</v>
      </c>
      <c r="X476" s="2" t="n">
        <v>17</v>
      </c>
      <c r="Y476" s="2" t="n">
        <v>4</v>
      </c>
      <c r="Z476" s="2" t="s">
        <v>47</v>
      </c>
      <c r="AA476" s="3"/>
      <c r="AB476" s="5"/>
      <c r="AC476" s="5"/>
      <c r="AD476" s="3"/>
      <c r="AE476" s="3" t="s">
        <v>3152</v>
      </c>
    </row>
    <row r="477" customFormat="false" ht="60" hidden="false" customHeight="true" outlineLevel="0" collapsed="false">
      <c r="A477" s="2" t="s">
        <v>3153</v>
      </c>
      <c r="B477" s="2" t="n">
        <v>2026</v>
      </c>
      <c r="C477" s="2" t="s">
        <v>160</v>
      </c>
      <c r="D477" s="2" t="s">
        <v>33</v>
      </c>
      <c r="E477" s="2" t="s">
        <v>104</v>
      </c>
      <c r="F477" s="2" t="n">
        <v>3</v>
      </c>
      <c r="G477" s="2" t="s">
        <v>52</v>
      </c>
      <c r="H477" s="2" t="s">
        <v>1199</v>
      </c>
      <c r="I477" s="2" t="n">
        <v>12</v>
      </c>
      <c r="J477" s="2" t="n">
        <v>4</v>
      </c>
      <c r="K477" s="2" t="s">
        <v>813</v>
      </c>
      <c r="L477" s="2"/>
      <c r="M477" s="2"/>
      <c r="N477" s="2"/>
      <c r="O477" s="3" t="s">
        <v>232</v>
      </c>
      <c r="P477" s="2" t="s">
        <v>151</v>
      </c>
      <c r="Q477" s="2" t="s">
        <v>152</v>
      </c>
      <c r="R477" s="2" t="s">
        <v>3154</v>
      </c>
      <c r="S477" s="2" t="s">
        <v>3155</v>
      </c>
      <c r="T477" s="3" t="s">
        <v>3156</v>
      </c>
      <c r="U477" s="3"/>
      <c r="V477" s="3" t="s">
        <v>3157</v>
      </c>
      <c r="W477" s="3" t="s">
        <v>3158</v>
      </c>
      <c r="X477" s="2" t="n">
        <v>18</v>
      </c>
      <c r="Y477" s="2" t="n">
        <v>4</v>
      </c>
      <c r="Z477" s="2" t="s">
        <v>47</v>
      </c>
      <c r="AA477" s="3"/>
      <c r="AB477" s="5"/>
      <c r="AC477" s="5"/>
      <c r="AD477" s="3"/>
      <c r="AE477" s="3" t="s">
        <v>3159</v>
      </c>
    </row>
    <row r="478" customFormat="false" ht="60" hidden="false" customHeight="true" outlineLevel="0" collapsed="false">
      <c r="A478" s="2" t="s">
        <v>3160</v>
      </c>
      <c r="B478" s="2" t="n">
        <v>2026</v>
      </c>
      <c r="C478" s="2" t="s">
        <v>160</v>
      </c>
      <c r="D478" s="2" t="s">
        <v>33</v>
      </c>
      <c r="E478" s="2" t="s">
        <v>1230</v>
      </c>
      <c r="F478" s="2" t="n">
        <v>4</v>
      </c>
      <c r="G478" s="2" t="s">
        <v>35</v>
      </c>
      <c r="H478" s="2" t="s">
        <v>1231</v>
      </c>
      <c r="I478" s="2" t="n">
        <v>8</v>
      </c>
      <c r="J478" s="2" t="n">
        <v>2</v>
      </c>
      <c r="K478" s="2" t="s">
        <v>64</v>
      </c>
      <c r="L478" s="2" t="s">
        <v>86</v>
      </c>
      <c r="M478" s="2"/>
      <c r="N478" s="2"/>
      <c r="O478" s="3" t="s">
        <v>1912</v>
      </c>
      <c r="P478" s="2" t="s">
        <v>594</v>
      </c>
      <c r="Q478" s="2" t="s">
        <v>595</v>
      </c>
      <c r="R478" s="2" t="s">
        <v>3161</v>
      </c>
      <c r="S478" s="2" t="s">
        <v>3162</v>
      </c>
      <c r="T478" s="3" t="s">
        <v>3163</v>
      </c>
      <c r="U478" s="3"/>
      <c r="V478" s="3" t="s">
        <v>3164</v>
      </c>
      <c r="W478" s="3" t="s">
        <v>3165</v>
      </c>
      <c r="X478" s="2" t="n">
        <v>20</v>
      </c>
      <c r="Y478" s="2" t="n">
        <v>4</v>
      </c>
      <c r="Z478" s="2" t="s">
        <v>47</v>
      </c>
      <c r="AA478" s="3"/>
      <c r="AB478" s="5"/>
      <c r="AC478" s="5"/>
      <c r="AD478" s="3"/>
      <c r="AE478" s="3" t="s">
        <v>3166</v>
      </c>
    </row>
    <row r="479" customFormat="false" ht="60" hidden="false" customHeight="true" outlineLevel="0" collapsed="false">
      <c r="A479" s="2" t="s">
        <v>3167</v>
      </c>
      <c r="B479" s="2" t="n">
        <v>2026</v>
      </c>
      <c r="C479" s="2" t="s">
        <v>160</v>
      </c>
      <c r="D479" s="2" t="s">
        <v>33</v>
      </c>
      <c r="E479" s="2" t="s">
        <v>1230</v>
      </c>
      <c r="F479" s="2" t="n">
        <v>4</v>
      </c>
      <c r="G479" s="2" t="s">
        <v>52</v>
      </c>
      <c r="H479" s="2" t="s">
        <v>1231</v>
      </c>
      <c r="I479" s="2" t="n">
        <v>12</v>
      </c>
      <c r="J479" s="2" t="n">
        <v>4</v>
      </c>
      <c r="K479" s="2" t="s">
        <v>813</v>
      </c>
      <c r="L479" s="2"/>
      <c r="M479" s="2"/>
      <c r="N479" s="2"/>
      <c r="O479" s="3" t="s">
        <v>3168</v>
      </c>
      <c r="P479" s="2" t="s">
        <v>594</v>
      </c>
      <c r="Q479" s="2" t="s">
        <v>595</v>
      </c>
      <c r="R479" s="2" t="s">
        <v>1242</v>
      </c>
      <c r="S479" s="2" t="s">
        <v>1243</v>
      </c>
      <c r="T479" s="3" t="s">
        <v>3169</v>
      </c>
      <c r="U479" s="3"/>
      <c r="V479" s="3" t="s">
        <v>3170</v>
      </c>
      <c r="W479" s="3" t="s">
        <v>3171</v>
      </c>
      <c r="X479" s="2" t="n">
        <v>21</v>
      </c>
      <c r="Y479" s="2" t="n">
        <v>4</v>
      </c>
      <c r="Z479" s="2" t="s">
        <v>47</v>
      </c>
      <c r="AA479" s="3"/>
      <c r="AB479" s="5"/>
      <c r="AC479" s="5"/>
      <c r="AD479" s="3" t="s">
        <v>3172</v>
      </c>
      <c r="AE479" s="3" t="s">
        <v>3173</v>
      </c>
    </row>
    <row r="480" customFormat="false" ht="60" hidden="false" customHeight="true" outlineLevel="0" collapsed="false">
      <c r="A480" s="2" t="s">
        <v>3174</v>
      </c>
      <c r="B480" s="2" t="n">
        <v>2026</v>
      </c>
      <c r="C480" s="2" t="s">
        <v>160</v>
      </c>
      <c r="D480" s="2" t="s">
        <v>33</v>
      </c>
      <c r="E480" s="2" t="s">
        <v>1230</v>
      </c>
      <c r="F480" s="2" t="n">
        <v>5</v>
      </c>
      <c r="G480" s="2" t="s">
        <v>35</v>
      </c>
      <c r="H480" s="2" t="s">
        <v>1231</v>
      </c>
      <c r="I480" s="2" t="n">
        <v>8</v>
      </c>
      <c r="J480" s="2" t="n">
        <v>2</v>
      </c>
      <c r="K480" s="2" t="s">
        <v>64</v>
      </c>
      <c r="L480" s="2" t="s">
        <v>86</v>
      </c>
      <c r="M480" s="2" t="s">
        <v>37</v>
      </c>
      <c r="N480" s="2"/>
      <c r="O480" s="3" t="s">
        <v>1402</v>
      </c>
      <c r="P480" s="2" t="s">
        <v>1232</v>
      </c>
      <c r="Q480" s="2" t="s">
        <v>1233</v>
      </c>
      <c r="R480" s="2" t="s">
        <v>1234</v>
      </c>
      <c r="S480" s="2" t="s">
        <v>1507</v>
      </c>
      <c r="T480" s="3" t="s">
        <v>3175</v>
      </c>
      <c r="U480" s="3"/>
      <c r="V480" s="3" t="s">
        <v>3176</v>
      </c>
      <c r="W480" s="3" t="s">
        <v>3177</v>
      </c>
      <c r="X480" s="2" t="n">
        <v>23</v>
      </c>
      <c r="Y480" s="2" t="n">
        <v>4</v>
      </c>
      <c r="Z480" s="2" t="s">
        <v>47</v>
      </c>
      <c r="AA480" s="3"/>
      <c r="AB480" s="5"/>
      <c r="AC480" s="5"/>
      <c r="AD480" s="3" t="s">
        <v>3178</v>
      </c>
      <c r="AE480" s="3" t="s">
        <v>3179</v>
      </c>
    </row>
    <row r="481" customFormat="false" ht="60" hidden="false" customHeight="true" outlineLevel="0" collapsed="false">
      <c r="A481" s="2" t="s">
        <v>3180</v>
      </c>
      <c r="B481" s="2" t="n">
        <v>2026</v>
      </c>
      <c r="C481" s="2" t="s">
        <v>160</v>
      </c>
      <c r="D481" s="2" t="s">
        <v>33</v>
      </c>
      <c r="E481" s="2" t="s">
        <v>1230</v>
      </c>
      <c r="F481" s="2" t="n">
        <v>5</v>
      </c>
      <c r="G481" s="2" t="s">
        <v>52</v>
      </c>
      <c r="H481" s="2" t="s">
        <v>1231</v>
      </c>
      <c r="I481" s="2" t="n">
        <v>12</v>
      </c>
      <c r="J481" s="2" t="n">
        <v>4</v>
      </c>
      <c r="K481" s="2" t="s">
        <v>813</v>
      </c>
      <c r="L481" s="2"/>
      <c r="M481" s="2"/>
      <c r="N481" s="2"/>
      <c r="O481" s="3" t="s">
        <v>232</v>
      </c>
      <c r="P481" s="2" t="s">
        <v>54</v>
      </c>
      <c r="Q481" s="2" t="s">
        <v>55</v>
      </c>
      <c r="R481" s="2" t="s">
        <v>3181</v>
      </c>
      <c r="S481" s="2" t="s">
        <v>3182</v>
      </c>
      <c r="T481" s="3" t="s">
        <v>3183</v>
      </c>
      <c r="U481" s="3"/>
      <c r="V481" s="3" t="s">
        <v>3184</v>
      </c>
      <c r="W481" s="3" t="s">
        <v>3185</v>
      </c>
      <c r="X481" s="2" t="n">
        <v>25</v>
      </c>
      <c r="Y481" s="2" t="n">
        <v>4</v>
      </c>
      <c r="Z481" s="2" t="s">
        <v>47</v>
      </c>
      <c r="AA481" s="3"/>
      <c r="AB481" s="5"/>
      <c r="AC481" s="5"/>
      <c r="AD481" s="3"/>
      <c r="AE481" s="3" t="s">
        <v>3186</v>
      </c>
    </row>
    <row r="482" customFormat="false" ht="60" hidden="false" customHeight="true" outlineLevel="0" collapsed="false">
      <c r="A482" s="2" t="s">
        <v>3187</v>
      </c>
      <c r="B482" s="2" t="n">
        <v>2026</v>
      </c>
      <c r="C482" s="2" t="s">
        <v>160</v>
      </c>
      <c r="D482" s="2" t="s">
        <v>316</v>
      </c>
      <c r="E482" s="2" t="s">
        <v>34</v>
      </c>
      <c r="F482" s="2" t="n">
        <v>1</v>
      </c>
      <c r="G482" s="2" t="s">
        <v>35</v>
      </c>
      <c r="H482" s="2"/>
      <c r="I482" s="2" t="n">
        <v>2</v>
      </c>
      <c r="J482" s="2" t="n">
        <v>0</v>
      </c>
      <c r="K482" s="2" t="s">
        <v>53</v>
      </c>
      <c r="L482" s="2"/>
      <c r="M482" s="2"/>
      <c r="N482" s="2"/>
      <c r="O482" s="3"/>
      <c r="P482" s="2" t="s">
        <v>185</v>
      </c>
      <c r="Q482" s="2" t="s">
        <v>186</v>
      </c>
      <c r="R482" s="2" t="s">
        <v>317</v>
      </c>
      <c r="S482" s="2" t="s">
        <v>318</v>
      </c>
      <c r="T482" s="3" t="s">
        <v>3188</v>
      </c>
      <c r="U482" s="3" t="s">
        <v>3189</v>
      </c>
      <c r="V482" s="3" t="s">
        <v>3190</v>
      </c>
      <c r="W482" s="3" t="s">
        <v>3191</v>
      </c>
      <c r="X482" s="2" t="n">
        <v>11</v>
      </c>
      <c r="Y482" s="2" t="n">
        <v>3</v>
      </c>
      <c r="Z482" s="2" t="s">
        <v>47</v>
      </c>
      <c r="AA482" s="4" t="s">
        <v>48</v>
      </c>
      <c r="AB482" s="5"/>
      <c r="AC482" s="5"/>
      <c r="AD482" s="3" t="s">
        <v>3192</v>
      </c>
      <c r="AE482" s="3" t="s">
        <v>3193</v>
      </c>
    </row>
    <row r="483" customFormat="false" ht="60" hidden="false" customHeight="true" outlineLevel="0" collapsed="false">
      <c r="A483" s="2" t="s">
        <v>3194</v>
      </c>
      <c r="B483" s="2" t="n">
        <v>2026</v>
      </c>
      <c r="C483" s="2" t="s">
        <v>160</v>
      </c>
      <c r="D483" s="2" t="s">
        <v>316</v>
      </c>
      <c r="E483" s="2" t="s">
        <v>34</v>
      </c>
      <c r="F483" s="2" t="n">
        <v>1</v>
      </c>
      <c r="G483" s="2" t="s">
        <v>52</v>
      </c>
      <c r="H483" s="2"/>
      <c r="I483" s="2" t="n">
        <v>2</v>
      </c>
      <c r="J483" s="2" t="n">
        <v>0</v>
      </c>
      <c r="K483" s="2" t="s">
        <v>3195</v>
      </c>
      <c r="L483" s="2"/>
      <c r="M483" s="2"/>
      <c r="N483" s="2"/>
      <c r="O483" s="3"/>
      <c r="P483" s="2" t="s">
        <v>185</v>
      </c>
      <c r="Q483" s="2" t="s">
        <v>186</v>
      </c>
      <c r="R483" s="2" t="s">
        <v>187</v>
      </c>
      <c r="S483" s="2" t="s">
        <v>3196</v>
      </c>
      <c r="T483" s="3" t="s">
        <v>3197</v>
      </c>
      <c r="U483" s="3" t="s">
        <v>3189</v>
      </c>
      <c r="V483" s="3" t="s">
        <v>3198</v>
      </c>
      <c r="W483" s="3" t="s">
        <v>3199</v>
      </c>
      <c r="X483" s="2" t="n">
        <v>11</v>
      </c>
      <c r="Y483" s="2" t="n">
        <v>3</v>
      </c>
      <c r="Z483" s="2" t="s">
        <v>47</v>
      </c>
      <c r="AA483" s="4" t="s">
        <v>69</v>
      </c>
      <c r="AB483" s="5"/>
      <c r="AC483" s="5"/>
      <c r="AD483" s="3"/>
      <c r="AE483" s="3" t="s">
        <v>3200</v>
      </c>
    </row>
    <row r="484" customFormat="false" ht="60" hidden="false" customHeight="true" outlineLevel="0" collapsed="false">
      <c r="A484" s="2" t="s">
        <v>3201</v>
      </c>
      <c r="B484" s="2" t="n">
        <v>2026</v>
      </c>
      <c r="C484" s="2" t="s">
        <v>160</v>
      </c>
      <c r="D484" s="2" t="s">
        <v>316</v>
      </c>
      <c r="E484" s="2" t="s">
        <v>34</v>
      </c>
      <c r="F484" s="2" t="n">
        <v>1</v>
      </c>
      <c r="G484" s="2" t="s">
        <v>63</v>
      </c>
      <c r="H484" s="2"/>
      <c r="I484" s="2" t="n">
        <v>4</v>
      </c>
      <c r="J484" s="2" t="n">
        <v>1</v>
      </c>
      <c r="K484" s="2" t="s">
        <v>64</v>
      </c>
      <c r="L484" s="2" t="s">
        <v>86</v>
      </c>
      <c r="M484" s="2" t="s">
        <v>37</v>
      </c>
      <c r="N484" s="2"/>
      <c r="O484" s="3" t="s">
        <v>73</v>
      </c>
      <c r="P484" s="2" t="s">
        <v>133</v>
      </c>
      <c r="Q484" s="2" t="s">
        <v>134</v>
      </c>
      <c r="R484" s="2" t="s">
        <v>3202</v>
      </c>
      <c r="S484" s="2" t="s">
        <v>3203</v>
      </c>
      <c r="T484" s="3" t="s">
        <v>3204</v>
      </c>
      <c r="U484" s="3" t="s">
        <v>3189</v>
      </c>
      <c r="V484" s="3" t="s">
        <v>3205</v>
      </c>
      <c r="W484" s="3" t="s">
        <v>3206</v>
      </c>
      <c r="X484" s="2" t="n">
        <v>11</v>
      </c>
      <c r="Y484" s="2" t="n">
        <v>3</v>
      </c>
      <c r="Z484" s="2" t="s">
        <v>47</v>
      </c>
      <c r="AA484" s="4" t="s">
        <v>69</v>
      </c>
      <c r="AB484" s="5"/>
      <c r="AC484" s="5"/>
      <c r="AD484" s="3"/>
      <c r="AE484" s="3" t="s">
        <v>3207</v>
      </c>
    </row>
    <row r="485" customFormat="false" ht="60" hidden="false" customHeight="true" outlineLevel="0" collapsed="false">
      <c r="A485" s="2" t="s">
        <v>3208</v>
      </c>
      <c r="B485" s="2" t="n">
        <v>2026</v>
      </c>
      <c r="C485" s="2" t="s">
        <v>160</v>
      </c>
      <c r="D485" s="2" t="s">
        <v>316</v>
      </c>
      <c r="E485" s="2" t="s">
        <v>34</v>
      </c>
      <c r="F485" s="2" t="n">
        <v>1</v>
      </c>
      <c r="G485" s="2" t="s">
        <v>72</v>
      </c>
      <c r="H485" s="2"/>
      <c r="I485" s="2" t="n">
        <v>6</v>
      </c>
      <c r="J485" s="2" t="n">
        <v>2</v>
      </c>
      <c r="K485" s="2" t="s">
        <v>813</v>
      </c>
      <c r="L485" s="2"/>
      <c r="M485" s="2"/>
      <c r="N485" s="2"/>
      <c r="O485" s="3" t="s">
        <v>232</v>
      </c>
      <c r="P485" s="2" t="s">
        <v>124</v>
      </c>
      <c r="Q485" s="2" t="s">
        <v>125</v>
      </c>
      <c r="R485" s="2" t="s">
        <v>126</v>
      </c>
      <c r="S485" s="2" t="s">
        <v>3209</v>
      </c>
      <c r="T485" s="3" t="s">
        <v>3210</v>
      </c>
      <c r="U485" s="3" t="s">
        <v>3189</v>
      </c>
      <c r="V485" s="3" t="s">
        <v>3211</v>
      </c>
      <c r="W485" s="3" t="s">
        <v>3212</v>
      </c>
      <c r="X485" s="2" t="n">
        <v>12</v>
      </c>
      <c r="Y485" s="2" t="n">
        <v>3</v>
      </c>
      <c r="Z485" s="2" t="s">
        <v>47</v>
      </c>
      <c r="AA485" s="4" t="s">
        <v>69</v>
      </c>
      <c r="AB485" s="5"/>
      <c r="AC485" s="5"/>
      <c r="AD485" s="3"/>
      <c r="AE485" s="3" t="s">
        <v>3213</v>
      </c>
    </row>
    <row r="486" customFormat="false" ht="60" hidden="false" customHeight="true" outlineLevel="0" collapsed="false">
      <c r="A486" s="2" t="s">
        <v>3214</v>
      </c>
      <c r="B486" s="2" t="n">
        <v>2026</v>
      </c>
      <c r="C486" s="2" t="s">
        <v>160</v>
      </c>
      <c r="D486" s="2" t="s">
        <v>316</v>
      </c>
      <c r="E486" s="2" t="s">
        <v>34</v>
      </c>
      <c r="F486" s="2" t="n">
        <v>1</v>
      </c>
      <c r="G486" s="2" t="s">
        <v>84</v>
      </c>
      <c r="H486" s="2"/>
      <c r="I486" s="2" t="n">
        <v>6</v>
      </c>
      <c r="J486" s="2" t="n">
        <v>2</v>
      </c>
      <c r="K486" s="2" t="s">
        <v>813</v>
      </c>
      <c r="L486" s="2"/>
      <c r="M486" s="2"/>
      <c r="N486" s="2"/>
      <c r="O486" s="3"/>
      <c r="P486" s="2" t="s">
        <v>164</v>
      </c>
      <c r="Q486" s="2" t="s">
        <v>165</v>
      </c>
      <c r="R486" s="2" t="s">
        <v>3215</v>
      </c>
      <c r="S486" s="2" t="s">
        <v>3216</v>
      </c>
      <c r="T486" s="3" t="s">
        <v>3217</v>
      </c>
      <c r="U486" s="3" t="s">
        <v>3189</v>
      </c>
      <c r="V486" s="3" t="s">
        <v>3218</v>
      </c>
      <c r="W486" s="3" t="s">
        <v>3219</v>
      </c>
      <c r="X486" s="2" t="n">
        <v>14</v>
      </c>
      <c r="Y486" s="2" t="n">
        <v>3</v>
      </c>
      <c r="Z486" s="2" t="s">
        <v>47</v>
      </c>
      <c r="AA486" s="4" t="s">
        <v>69</v>
      </c>
      <c r="AB486" s="5"/>
      <c r="AC486" s="5"/>
      <c r="AD486" s="3"/>
      <c r="AE486" s="3" t="s">
        <v>3220</v>
      </c>
    </row>
    <row r="487" customFormat="false" ht="60" hidden="false" customHeight="true" outlineLevel="0" collapsed="false">
      <c r="A487" s="2" t="s">
        <v>3221</v>
      </c>
      <c r="B487" s="2" t="n">
        <v>2026</v>
      </c>
      <c r="C487" s="2" t="s">
        <v>160</v>
      </c>
      <c r="D487" s="2" t="s">
        <v>316</v>
      </c>
      <c r="E487" s="2" t="s">
        <v>104</v>
      </c>
      <c r="F487" s="2" t="n">
        <v>2</v>
      </c>
      <c r="G487" s="2" t="s">
        <v>35</v>
      </c>
      <c r="H487" s="2" t="s">
        <v>1199</v>
      </c>
      <c r="I487" s="2" t="n">
        <v>8</v>
      </c>
      <c r="J487" s="2" t="n">
        <v>2</v>
      </c>
      <c r="K487" s="2" t="s">
        <v>64</v>
      </c>
      <c r="L487" s="2" t="s">
        <v>86</v>
      </c>
      <c r="M487" s="2"/>
      <c r="N487" s="2"/>
      <c r="O487" s="3"/>
      <c r="P487" s="2" t="s">
        <v>185</v>
      </c>
      <c r="Q487" s="2" t="s">
        <v>186</v>
      </c>
      <c r="R487" s="2" t="s">
        <v>317</v>
      </c>
      <c r="S487" s="2" t="s">
        <v>3222</v>
      </c>
      <c r="T487" s="3" t="s">
        <v>3223</v>
      </c>
      <c r="U487" s="3"/>
      <c r="V487" s="3" t="s">
        <v>3224</v>
      </c>
      <c r="W487" s="3" t="s">
        <v>3225</v>
      </c>
      <c r="X487" s="2" t="n">
        <v>15</v>
      </c>
      <c r="Y487" s="2" t="n">
        <v>3</v>
      </c>
      <c r="Z487" s="2" t="s">
        <v>47</v>
      </c>
      <c r="AA487" s="3"/>
      <c r="AB487" s="5"/>
      <c r="AC487" s="5"/>
      <c r="AD487" s="3"/>
      <c r="AE487" s="3" t="s">
        <v>3226</v>
      </c>
    </row>
    <row r="488" customFormat="false" ht="60" hidden="false" customHeight="true" outlineLevel="0" collapsed="false">
      <c r="A488" s="2" t="s">
        <v>3227</v>
      </c>
      <c r="B488" s="2" t="n">
        <v>2026</v>
      </c>
      <c r="C488" s="2" t="s">
        <v>160</v>
      </c>
      <c r="D488" s="2" t="s">
        <v>316</v>
      </c>
      <c r="E488" s="2" t="s">
        <v>104</v>
      </c>
      <c r="F488" s="2" t="n">
        <v>2</v>
      </c>
      <c r="G488" s="2" t="s">
        <v>52</v>
      </c>
      <c r="H488" s="2" t="s">
        <v>1199</v>
      </c>
      <c r="I488" s="2" t="n">
        <v>12</v>
      </c>
      <c r="J488" s="2" t="n">
        <v>4</v>
      </c>
      <c r="K488" s="2" t="s">
        <v>813</v>
      </c>
      <c r="L488" s="2"/>
      <c r="M488" s="2"/>
      <c r="N488" s="2"/>
      <c r="O488" s="3" t="s">
        <v>232</v>
      </c>
      <c r="P488" s="2" t="s">
        <v>142</v>
      </c>
      <c r="Q488" s="2" t="s">
        <v>143</v>
      </c>
      <c r="R488" s="2" t="s">
        <v>3228</v>
      </c>
      <c r="S488" s="2" t="s">
        <v>3229</v>
      </c>
      <c r="T488" s="3" t="s">
        <v>3230</v>
      </c>
      <c r="U488" s="3"/>
      <c r="V488" s="3" t="s">
        <v>3231</v>
      </c>
      <c r="W488" s="3" t="s">
        <v>3232</v>
      </c>
      <c r="X488" s="2" t="n">
        <v>17</v>
      </c>
      <c r="Y488" s="2" t="n">
        <v>3</v>
      </c>
      <c r="Z488" s="2" t="s">
        <v>47</v>
      </c>
      <c r="AA488" s="3"/>
      <c r="AB488" s="5"/>
      <c r="AC488" s="5"/>
      <c r="AD488" s="3"/>
      <c r="AE488" s="3" t="s">
        <v>3233</v>
      </c>
    </row>
    <row r="489" customFormat="false" ht="60" hidden="false" customHeight="true" outlineLevel="0" collapsed="false">
      <c r="A489" s="2" t="s">
        <v>3234</v>
      </c>
      <c r="B489" s="2" t="n">
        <v>2026</v>
      </c>
      <c r="C489" s="2" t="s">
        <v>160</v>
      </c>
      <c r="D489" s="2" t="s">
        <v>316</v>
      </c>
      <c r="E489" s="2" t="s">
        <v>104</v>
      </c>
      <c r="F489" s="2" t="n">
        <v>3</v>
      </c>
      <c r="G489" s="2" t="s">
        <v>35</v>
      </c>
      <c r="H489" s="2" t="s">
        <v>1199</v>
      </c>
      <c r="I489" s="2" t="n">
        <v>8</v>
      </c>
      <c r="J489" s="2" t="n">
        <v>2</v>
      </c>
      <c r="K489" s="2" t="s">
        <v>64</v>
      </c>
      <c r="L489" s="2" t="s">
        <v>86</v>
      </c>
      <c r="M489" s="2"/>
      <c r="N489" s="2"/>
      <c r="O489" s="3" t="s">
        <v>232</v>
      </c>
      <c r="P489" s="2" t="s">
        <v>209</v>
      </c>
      <c r="Q489" s="2" t="s">
        <v>210</v>
      </c>
      <c r="R489" s="2" t="s">
        <v>340</v>
      </c>
      <c r="S489" s="2" t="s">
        <v>3235</v>
      </c>
      <c r="T489" s="3" t="s">
        <v>3236</v>
      </c>
      <c r="U489" s="3"/>
      <c r="V489" s="3" t="s">
        <v>3237</v>
      </c>
      <c r="W489" s="3" t="s">
        <v>3238</v>
      </c>
      <c r="X489" s="2" t="n">
        <v>19</v>
      </c>
      <c r="Y489" s="2" t="n">
        <v>3</v>
      </c>
      <c r="Z489" s="2" t="s">
        <v>47</v>
      </c>
      <c r="AA489" s="3"/>
      <c r="AB489" s="5"/>
      <c r="AC489" s="5"/>
      <c r="AD489" s="3" t="s">
        <v>3239</v>
      </c>
      <c r="AE489" s="3" t="s">
        <v>3240</v>
      </c>
    </row>
    <row r="490" customFormat="false" ht="60" hidden="false" customHeight="true" outlineLevel="0" collapsed="false">
      <c r="A490" s="2" t="s">
        <v>3241</v>
      </c>
      <c r="B490" s="2" t="n">
        <v>2026</v>
      </c>
      <c r="C490" s="2" t="s">
        <v>160</v>
      </c>
      <c r="D490" s="2" t="s">
        <v>316</v>
      </c>
      <c r="E490" s="2" t="s">
        <v>104</v>
      </c>
      <c r="F490" s="2" t="n">
        <v>3</v>
      </c>
      <c r="G490" s="2" t="s">
        <v>52</v>
      </c>
      <c r="H490" s="2" t="s">
        <v>1199</v>
      </c>
      <c r="I490" s="2" t="n">
        <v>12</v>
      </c>
      <c r="J490" s="2" t="n">
        <v>4</v>
      </c>
      <c r="K490" s="2" t="s">
        <v>813</v>
      </c>
      <c r="L490" s="2"/>
      <c r="M490" s="2"/>
      <c r="N490" s="2"/>
      <c r="O490" s="3" t="s">
        <v>748</v>
      </c>
      <c r="P490" s="2" t="s">
        <v>1214</v>
      </c>
      <c r="Q490" s="2" t="s">
        <v>1215</v>
      </c>
      <c r="R490" s="2" t="s">
        <v>3242</v>
      </c>
      <c r="S490" s="2" t="s">
        <v>3243</v>
      </c>
      <c r="T490" s="3" t="s">
        <v>3244</v>
      </c>
      <c r="U490" s="3"/>
      <c r="V490" s="3" t="s">
        <v>3245</v>
      </c>
      <c r="W490" s="3" t="s">
        <v>3246</v>
      </c>
      <c r="X490" s="2" t="n">
        <v>21</v>
      </c>
      <c r="Y490" s="2" t="n">
        <v>3</v>
      </c>
      <c r="Z490" s="2" t="s">
        <v>47</v>
      </c>
      <c r="AA490" s="3"/>
      <c r="AB490" s="5"/>
      <c r="AC490" s="5"/>
      <c r="AD490" s="3"/>
      <c r="AE490" s="3" t="s">
        <v>3247</v>
      </c>
    </row>
    <row r="491" customFormat="false" ht="60" hidden="false" customHeight="true" outlineLevel="0" collapsed="false">
      <c r="A491" s="2" t="s">
        <v>3248</v>
      </c>
      <c r="B491" s="2" t="n">
        <v>2026</v>
      </c>
      <c r="C491" s="2" t="s">
        <v>160</v>
      </c>
      <c r="D491" s="2" t="s">
        <v>316</v>
      </c>
      <c r="E491" s="2" t="s">
        <v>1230</v>
      </c>
      <c r="F491" s="2" t="n">
        <v>4</v>
      </c>
      <c r="G491" s="2" t="s">
        <v>35</v>
      </c>
      <c r="H491" s="2" t="s">
        <v>1231</v>
      </c>
      <c r="I491" s="2" t="n">
        <v>8</v>
      </c>
      <c r="J491" s="2" t="n">
        <v>2</v>
      </c>
      <c r="K491" s="2" t="s">
        <v>64</v>
      </c>
      <c r="L491" s="2" t="s">
        <v>86</v>
      </c>
      <c r="M491" s="2" t="s">
        <v>37</v>
      </c>
      <c r="N491" s="2"/>
      <c r="O491" s="3" t="s">
        <v>73</v>
      </c>
      <c r="P491" s="2" t="s">
        <v>201</v>
      </c>
      <c r="Q491" s="2" t="s">
        <v>202</v>
      </c>
      <c r="R491" s="2" t="s">
        <v>1681</v>
      </c>
      <c r="S491" s="2" t="s">
        <v>2093</v>
      </c>
      <c r="T491" s="3" t="s">
        <v>2094</v>
      </c>
      <c r="U491" s="3"/>
      <c r="V491" s="3" t="s">
        <v>3249</v>
      </c>
      <c r="W491" s="3" t="s">
        <v>3250</v>
      </c>
      <c r="X491" s="2" t="n">
        <v>23</v>
      </c>
      <c r="Y491" s="2" t="n">
        <v>4</v>
      </c>
      <c r="Z491" s="2" t="s">
        <v>47</v>
      </c>
      <c r="AA491" s="3"/>
      <c r="AB491" s="5"/>
      <c r="AC491" s="5"/>
      <c r="AD491" s="3" t="s">
        <v>3251</v>
      </c>
      <c r="AE491" s="3" t="s">
        <v>3252</v>
      </c>
    </row>
    <row r="492" customFormat="false" ht="60" hidden="false" customHeight="true" outlineLevel="0" collapsed="false">
      <c r="A492" s="2" t="s">
        <v>3253</v>
      </c>
      <c r="B492" s="2" t="n">
        <v>2026</v>
      </c>
      <c r="C492" s="2" t="s">
        <v>160</v>
      </c>
      <c r="D492" s="2" t="s">
        <v>316</v>
      </c>
      <c r="E492" s="2" t="s">
        <v>1230</v>
      </c>
      <c r="F492" s="2" t="n">
        <v>4</v>
      </c>
      <c r="G492" s="2" t="s">
        <v>52</v>
      </c>
      <c r="H492" s="2" t="s">
        <v>1231</v>
      </c>
      <c r="I492" s="2" t="n">
        <v>12</v>
      </c>
      <c r="J492" s="2" t="n">
        <v>4</v>
      </c>
      <c r="K492" s="2" t="s">
        <v>813</v>
      </c>
      <c r="L492" s="2"/>
      <c r="M492" s="2"/>
      <c r="N492" s="2"/>
      <c r="O492" s="3" t="s">
        <v>308</v>
      </c>
      <c r="P492" s="2" t="s">
        <v>115</v>
      </c>
      <c r="Q492" s="2" t="s">
        <v>116</v>
      </c>
      <c r="R492" s="2" t="s">
        <v>3254</v>
      </c>
      <c r="S492" s="2" t="s">
        <v>3255</v>
      </c>
      <c r="T492" s="3" t="s">
        <v>3256</v>
      </c>
      <c r="U492" s="3"/>
      <c r="V492" s="3" t="s">
        <v>3257</v>
      </c>
      <c r="W492" s="3" t="s">
        <v>3258</v>
      </c>
      <c r="X492" s="2" t="n">
        <v>24</v>
      </c>
      <c r="Y492" s="2" t="n">
        <v>4</v>
      </c>
      <c r="Z492" s="2" t="s">
        <v>47</v>
      </c>
      <c r="AA492" s="3"/>
      <c r="AB492" s="5"/>
      <c r="AC492" s="5"/>
      <c r="AD492" s="3" t="s">
        <v>3259</v>
      </c>
      <c r="AE492" s="3" t="s">
        <v>3260</v>
      </c>
    </row>
    <row r="493" customFormat="false" ht="60" hidden="false" customHeight="true" outlineLevel="0" collapsed="false">
      <c r="A493" s="2" t="s">
        <v>3261</v>
      </c>
      <c r="B493" s="2" t="n">
        <v>2026</v>
      </c>
      <c r="C493" s="2" t="s">
        <v>160</v>
      </c>
      <c r="D493" s="2" t="s">
        <v>316</v>
      </c>
      <c r="E493" s="2" t="s">
        <v>1230</v>
      </c>
      <c r="F493" s="2" t="n">
        <v>5</v>
      </c>
      <c r="G493" s="2" t="s">
        <v>35</v>
      </c>
      <c r="H493" s="2" t="s">
        <v>1231</v>
      </c>
      <c r="I493" s="2" t="n">
        <v>8</v>
      </c>
      <c r="J493" s="2" t="n">
        <v>2</v>
      </c>
      <c r="K493" s="2" t="s">
        <v>64</v>
      </c>
      <c r="L493" s="2" t="s">
        <v>86</v>
      </c>
      <c r="M493" s="2"/>
      <c r="N493" s="2"/>
      <c r="O493" s="3" t="s">
        <v>527</v>
      </c>
      <c r="P493" s="2" t="s">
        <v>74</v>
      </c>
      <c r="Q493" s="2" t="s">
        <v>75</v>
      </c>
      <c r="R493" s="2" t="s">
        <v>3262</v>
      </c>
      <c r="S493" s="2" t="s">
        <v>3263</v>
      </c>
      <c r="T493" s="3" t="s">
        <v>3264</v>
      </c>
      <c r="U493" s="3"/>
      <c r="V493" s="3" t="s">
        <v>3265</v>
      </c>
      <c r="W493" s="3" t="s">
        <v>3266</v>
      </c>
      <c r="X493" s="2" t="n">
        <v>26</v>
      </c>
      <c r="Y493" s="2" t="n">
        <v>4</v>
      </c>
      <c r="Z493" s="2" t="s">
        <v>47</v>
      </c>
      <c r="AA493" s="3"/>
      <c r="AB493" s="5"/>
      <c r="AC493" s="5"/>
      <c r="AD493" s="3" t="s">
        <v>3267</v>
      </c>
      <c r="AE493" s="3" t="s">
        <v>3268</v>
      </c>
    </row>
    <row r="494" customFormat="false" ht="60" hidden="false" customHeight="true" outlineLevel="0" collapsed="false">
      <c r="A494" s="2" t="s">
        <v>3269</v>
      </c>
      <c r="B494" s="2" t="n">
        <v>2026</v>
      </c>
      <c r="C494" s="2" t="s">
        <v>160</v>
      </c>
      <c r="D494" s="2" t="s">
        <v>316</v>
      </c>
      <c r="E494" s="2" t="s">
        <v>1230</v>
      </c>
      <c r="F494" s="2" t="n">
        <v>5</v>
      </c>
      <c r="G494" s="2" t="s">
        <v>52</v>
      </c>
      <c r="H494" s="2" t="s">
        <v>1231</v>
      </c>
      <c r="I494" s="2" t="n">
        <v>12</v>
      </c>
      <c r="J494" s="2" t="n">
        <v>4</v>
      </c>
      <c r="K494" s="2" t="s">
        <v>813</v>
      </c>
      <c r="L494" s="2"/>
      <c r="M494" s="2"/>
      <c r="N494" s="2"/>
      <c r="O494" s="3" t="s">
        <v>527</v>
      </c>
      <c r="P494" s="2" t="s">
        <v>164</v>
      </c>
      <c r="Q494" s="2" t="s">
        <v>165</v>
      </c>
      <c r="R494" s="2" t="s">
        <v>166</v>
      </c>
      <c r="S494" s="2" t="s">
        <v>1770</v>
      </c>
      <c r="T494" s="3" t="s">
        <v>3270</v>
      </c>
      <c r="U494" s="3"/>
      <c r="V494" s="3" t="s">
        <v>3271</v>
      </c>
      <c r="W494" s="3" t="s">
        <v>3272</v>
      </c>
      <c r="X494" s="2" t="n">
        <v>27</v>
      </c>
      <c r="Y494" s="2" t="n">
        <v>4</v>
      </c>
      <c r="Z494" s="2" t="s">
        <v>47</v>
      </c>
      <c r="AA494" s="3"/>
      <c r="AB494" s="5"/>
      <c r="AC494" s="5"/>
      <c r="AD494" s="3" t="s">
        <v>3273</v>
      </c>
      <c r="AE494" s="3" t="s">
        <v>3274</v>
      </c>
    </row>
    <row r="495" customFormat="false" ht="60" hidden="false" customHeight="true" outlineLevel="0" collapsed="false">
      <c r="A495" s="2" t="s">
        <v>3275</v>
      </c>
      <c r="B495" s="2" t="n">
        <v>2026</v>
      </c>
      <c r="C495" s="2" t="s">
        <v>160</v>
      </c>
      <c r="D495" s="2" t="s">
        <v>2623</v>
      </c>
      <c r="E495" s="2" t="s">
        <v>34</v>
      </c>
      <c r="F495" s="2" t="n">
        <v>1</v>
      </c>
      <c r="G495" s="2" t="s">
        <v>35</v>
      </c>
      <c r="H495" s="2"/>
      <c r="I495" s="2" t="n">
        <v>2</v>
      </c>
      <c r="J495" s="2" t="n">
        <v>0</v>
      </c>
      <c r="K495" s="2" t="s">
        <v>163</v>
      </c>
      <c r="L495" s="2" t="s">
        <v>280</v>
      </c>
      <c r="M495" s="2"/>
      <c r="N495" s="2"/>
      <c r="O495" s="3"/>
      <c r="P495" s="2" t="s">
        <v>74</v>
      </c>
      <c r="Q495" s="2" t="s">
        <v>75</v>
      </c>
      <c r="R495" s="2" t="s">
        <v>239</v>
      </c>
      <c r="S495" s="2" t="s">
        <v>3276</v>
      </c>
      <c r="T495" s="3" t="s">
        <v>3277</v>
      </c>
      <c r="U495" s="3" t="s">
        <v>3278</v>
      </c>
      <c r="V495" s="3" t="s">
        <v>3279</v>
      </c>
      <c r="W495" s="3" t="s">
        <v>3280</v>
      </c>
      <c r="X495" s="2" t="n">
        <v>9</v>
      </c>
      <c r="Y495" s="2" t="n">
        <v>3</v>
      </c>
      <c r="Z495" s="2" t="s">
        <v>47</v>
      </c>
      <c r="AA495" s="3"/>
      <c r="AB495" s="5"/>
      <c r="AC495" s="5"/>
      <c r="AD495" s="3"/>
      <c r="AE495" s="3" t="s">
        <v>3281</v>
      </c>
    </row>
    <row r="496" customFormat="false" ht="60" hidden="false" customHeight="true" outlineLevel="0" collapsed="false">
      <c r="A496" s="2" t="s">
        <v>3282</v>
      </c>
      <c r="B496" s="2" t="n">
        <v>2026</v>
      </c>
      <c r="C496" s="2" t="s">
        <v>160</v>
      </c>
      <c r="D496" s="2" t="s">
        <v>2623</v>
      </c>
      <c r="E496" s="2" t="s">
        <v>34</v>
      </c>
      <c r="F496" s="2" t="n">
        <v>1</v>
      </c>
      <c r="G496" s="2" t="s">
        <v>52</v>
      </c>
      <c r="H496" s="2"/>
      <c r="I496" s="2" t="n">
        <v>2</v>
      </c>
      <c r="J496" s="2" t="n">
        <v>0</v>
      </c>
      <c r="K496" s="2" t="s">
        <v>64</v>
      </c>
      <c r="L496" s="2"/>
      <c r="M496" s="2"/>
      <c r="N496" s="2"/>
      <c r="O496" s="3"/>
      <c r="P496" s="2" t="s">
        <v>133</v>
      </c>
      <c r="Q496" s="2" t="s">
        <v>134</v>
      </c>
      <c r="R496" s="2" t="s">
        <v>268</v>
      </c>
      <c r="S496" s="2" t="s">
        <v>269</v>
      </c>
      <c r="T496" s="3" t="s">
        <v>3283</v>
      </c>
      <c r="U496" s="3" t="s">
        <v>3278</v>
      </c>
      <c r="V496" s="3" t="s">
        <v>3284</v>
      </c>
      <c r="W496" s="2" t="s">
        <v>3285</v>
      </c>
      <c r="X496" s="2" t="n">
        <v>9</v>
      </c>
      <c r="Y496" s="2" t="n">
        <v>3</v>
      </c>
      <c r="Z496" s="2" t="s">
        <v>47</v>
      </c>
      <c r="AA496" s="3"/>
      <c r="AB496" s="5"/>
      <c r="AC496" s="5"/>
      <c r="AD496" s="3"/>
      <c r="AE496" s="3" t="s">
        <v>3286</v>
      </c>
    </row>
    <row r="497" customFormat="false" ht="60" hidden="false" customHeight="true" outlineLevel="0" collapsed="false">
      <c r="A497" s="2" t="s">
        <v>3287</v>
      </c>
      <c r="B497" s="2" t="n">
        <v>2026</v>
      </c>
      <c r="C497" s="2" t="s">
        <v>160</v>
      </c>
      <c r="D497" s="2" t="s">
        <v>2623</v>
      </c>
      <c r="E497" s="2" t="s">
        <v>34</v>
      </c>
      <c r="F497" s="2" t="n">
        <v>1</v>
      </c>
      <c r="G497" s="2" t="s">
        <v>63</v>
      </c>
      <c r="H497" s="2"/>
      <c r="I497" s="2" t="n">
        <v>4</v>
      </c>
      <c r="J497" s="2" t="n">
        <v>1</v>
      </c>
      <c r="K497" s="2" t="s">
        <v>64</v>
      </c>
      <c r="L497" s="2" t="s">
        <v>86</v>
      </c>
      <c r="M497" s="2" t="s">
        <v>37</v>
      </c>
      <c r="N497" s="2"/>
      <c r="O497" s="3" t="s">
        <v>73</v>
      </c>
      <c r="P497" s="2" t="s">
        <v>151</v>
      </c>
      <c r="Q497" s="2" t="s">
        <v>152</v>
      </c>
      <c r="R497" s="2" t="s">
        <v>970</v>
      </c>
      <c r="S497" s="2" t="s">
        <v>3288</v>
      </c>
      <c r="T497" s="3" t="s">
        <v>3289</v>
      </c>
      <c r="U497" s="3" t="s">
        <v>3278</v>
      </c>
      <c r="V497" s="3" t="s">
        <v>3290</v>
      </c>
      <c r="W497" s="3" t="s">
        <v>3291</v>
      </c>
      <c r="X497" s="2" t="n">
        <v>9</v>
      </c>
      <c r="Y497" s="2" t="n">
        <v>3</v>
      </c>
      <c r="Z497" s="2" t="s">
        <v>47</v>
      </c>
      <c r="AA497" s="3"/>
      <c r="AB497" s="5"/>
      <c r="AC497" s="5"/>
      <c r="AD497" s="3"/>
      <c r="AE497" s="3" t="s">
        <v>3292</v>
      </c>
    </row>
    <row r="498" customFormat="false" ht="60" hidden="false" customHeight="true" outlineLevel="0" collapsed="false">
      <c r="A498" s="2" t="s">
        <v>3293</v>
      </c>
      <c r="B498" s="2" t="n">
        <v>2026</v>
      </c>
      <c r="C498" s="2" t="s">
        <v>160</v>
      </c>
      <c r="D498" s="2" t="s">
        <v>2623</v>
      </c>
      <c r="E498" s="2" t="s">
        <v>34</v>
      </c>
      <c r="F498" s="2" t="n">
        <v>1</v>
      </c>
      <c r="G498" s="2" t="s">
        <v>72</v>
      </c>
      <c r="H498" s="2"/>
      <c r="I498" s="2" t="n">
        <v>6</v>
      </c>
      <c r="J498" s="2" t="n">
        <v>2</v>
      </c>
      <c r="K498" s="2" t="s">
        <v>813</v>
      </c>
      <c r="L498" s="2"/>
      <c r="M498" s="2"/>
      <c r="N498" s="2"/>
      <c r="O498" s="3" t="s">
        <v>504</v>
      </c>
      <c r="P498" s="2" t="s">
        <v>151</v>
      </c>
      <c r="Q498" s="2" t="s">
        <v>152</v>
      </c>
      <c r="R498" s="2" t="s">
        <v>963</v>
      </c>
      <c r="S498" s="2" t="s">
        <v>3294</v>
      </c>
      <c r="T498" s="3" t="s">
        <v>3295</v>
      </c>
      <c r="U498" s="3" t="s">
        <v>3278</v>
      </c>
      <c r="V498" s="3" t="s">
        <v>3296</v>
      </c>
      <c r="W498" s="3" t="s">
        <v>3297</v>
      </c>
      <c r="X498" s="2" t="n">
        <v>10</v>
      </c>
      <c r="Y498" s="2" t="n">
        <v>3</v>
      </c>
      <c r="Z498" s="2" t="s">
        <v>47</v>
      </c>
      <c r="AA498" s="3"/>
      <c r="AB498" s="5"/>
      <c r="AC498" s="5"/>
      <c r="AD498" s="3" t="s">
        <v>3298</v>
      </c>
      <c r="AE498" s="3" t="s">
        <v>3299</v>
      </c>
    </row>
    <row r="499" customFormat="false" ht="60" hidden="false" customHeight="true" outlineLevel="0" collapsed="false">
      <c r="A499" s="2" t="s">
        <v>3300</v>
      </c>
      <c r="B499" s="2" t="n">
        <v>2026</v>
      </c>
      <c r="C499" s="2" t="s">
        <v>160</v>
      </c>
      <c r="D499" s="2" t="s">
        <v>2623</v>
      </c>
      <c r="E499" s="2" t="s">
        <v>34</v>
      </c>
      <c r="F499" s="2" t="n">
        <v>1</v>
      </c>
      <c r="G499" s="2" t="s">
        <v>84</v>
      </c>
      <c r="H499" s="2"/>
      <c r="I499" s="2" t="n">
        <v>6</v>
      </c>
      <c r="J499" s="2" t="n">
        <v>2</v>
      </c>
      <c r="K499" s="2" t="s">
        <v>813</v>
      </c>
      <c r="L499" s="2"/>
      <c r="M499" s="2"/>
      <c r="N499" s="2"/>
      <c r="O499" s="3"/>
      <c r="P499" s="2" t="s">
        <v>115</v>
      </c>
      <c r="Q499" s="2" t="s">
        <v>116</v>
      </c>
      <c r="R499" s="2" t="s">
        <v>3301</v>
      </c>
      <c r="S499" s="2" t="s">
        <v>3302</v>
      </c>
      <c r="T499" s="3" t="s">
        <v>3303</v>
      </c>
      <c r="U499" s="3" t="s">
        <v>3278</v>
      </c>
      <c r="V499" s="3" t="s">
        <v>3304</v>
      </c>
      <c r="W499" s="3" t="s">
        <v>3305</v>
      </c>
      <c r="X499" s="2" t="n">
        <v>11</v>
      </c>
      <c r="Y499" s="2" t="n">
        <v>3</v>
      </c>
      <c r="Z499" s="2" t="s">
        <v>47</v>
      </c>
      <c r="AA499" s="3"/>
      <c r="AB499" s="5"/>
      <c r="AC499" s="5"/>
      <c r="AD499" s="3"/>
      <c r="AE499" s="3" t="s">
        <v>3306</v>
      </c>
    </row>
    <row r="500" customFormat="false" ht="60" hidden="false" customHeight="true" outlineLevel="0" collapsed="false">
      <c r="A500" s="2" t="s">
        <v>3307</v>
      </c>
      <c r="B500" s="2" t="n">
        <v>2026</v>
      </c>
      <c r="C500" s="2" t="s">
        <v>160</v>
      </c>
      <c r="D500" s="2" t="s">
        <v>2623</v>
      </c>
      <c r="E500" s="2" t="s">
        <v>104</v>
      </c>
      <c r="F500" s="2" t="n">
        <v>2</v>
      </c>
      <c r="G500" s="2" t="s">
        <v>35</v>
      </c>
      <c r="H500" s="2" t="s">
        <v>1199</v>
      </c>
      <c r="I500" s="2" t="n">
        <v>8</v>
      </c>
      <c r="J500" s="2" t="n">
        <v>2</v>
      </c>
      <c r="K500" s="2" t="s">
        <v>64</v>
      </c>
      <c r="L500" s="2" t="s">
        <v>86</v>
      </c>
      <c r="M500" s="2"/>
      <c r="N500" s="2"/>
      <c r="O500" s="3"/>
      <c r="P500" s="2" t="s">
        <v>124</v>
      </c>
      <c r="Q500" s="2" t="s">
        <v>125</v>
      </c>
      <c r="R500" s="2" t="s">
        <v>126</v>
      </c>
      <c r="S500" s="2" t="s">
        <v>847</v>
      </c>
      <c r="T500" s="3" t="s">
        <v>3308</v>
      </c>
      <c r="U500" s="3"/>
      <c r="V500" s="3" t="s">
        <v>3309</v>
      </c>
      <c r="W500" s="3" t="s">
        <v>3310</v>
      </c>
      <c r="X500" s="2" t="n">
        <v>12</v>
      </c>
      <c r="Y500" s="2" t="n">
        <v>3</v>
      </c>
      <c r="Z500" s="2" t="s">
        <v>47</v>
      </c>
      <c r="AA500" s="3"/>
      <c r="AB500" s="5"/>
      <c r="AC500" s="5"/>
      <c r="AD500" s="3"/>
      <c r="AE500" s="3" t="s">
        <v>3311</v>
      </c>
    </row>
    <row r="501" customFormat="false" ht="60" hidden="false" customHeight="true" outlineLevel="0" collapsed="false">
      <c r="A501" s="2" t="s">
        <v>3312</v>
      </c>
      <c r="B501" s="2" t="n">
        <v>2026</v>
      </c>
      <c r="C501" s="2" t="s">
        <v>160</v>
      </c>
      <c r="D501" s="2" t="s">
        <v>2623</v>
      </c>
      <c r="E501" s="2" t="s">
        <v>104</v>
      </c>
      <c r="F501" s="2" t="n">
        <v>2</v>
      </c>
      <c r="G501" s="2" t="s">
        <v>52</v>
      </c>
      <c r="H501" s="2" t="s">
        <v>1199</v>
      </c>
      <c r="I501" s="2" t="n">
        <v>12</v>
      </c>
      <c r="J501" s="2" t="n">
        <v>4</v>
      </c>
      <c r="K501" s="2" t="s">
        <v>813</v>
      </c>
      <c r="L501" s="2"/>
      <c r="M501" s="2"/>
      <c r="N501" s="2"/>
      <c r="O501" s="3" t="s">
        <v>308</v>
      </c>
      <c r="P501" s="2" t="s">
        <v>124</v>
      </c>
      <c r="Q501" s="2" t="s">
        <v>125</v>
      </c>
      <c r="R501" s="2" t="s">
        <v>570</v>
      </c>
      <c r="S501" s="2" t="s">
        <v>3313</v>
      </c>
      <c r="T501" s="3" t="s">
        <v>3314</v>
      </c>
      <c r="U501" s="3"/>
      <c r="V501" s="3" t="s">
        <v>3315</v>
      </c>
      <c r="W501" s="3" t="s">
        <v>3316</v>
      </c>
      <c r="X501" s="2" t="n">
        <v>13</v>
      </c>
      <c r="Y501" s="2" t="n">
        <v>3</v>
      </c>
      <c r="Z501" s="2" t="s">
        <v>47</v>
      </c>
      <c r="AA501" s="3"/>
      <c r="AB501" s="5"/>
      <c r="AC501" s="5"/>
      <c r="AD501" s="3" t="s">
        <v>3317</v>
      </c>
      <c r="AE501" s="3" t="s">
        <v>3318</v>
      </c>
    </row>
    <row r="502" customFormat="false" ht="60" hidden="false" customHeight="true" outlineLevel="0" collapsed="false">
      <c r="A502" s="2" t="s">
        <v>3319</v>
      </c>
      <c r="B502" s="2" t="n">
        <v>2026</v>
      </c>
      <c r="C502" s="2" t="s">
        <v>160</v>
      </c>
      <c r="D502" s="2" t="s">
        <v>2623</v>
      </c>
      <c r="E502" s="2" t="s">
        <v>104</v>
      </c>
      <c r="F502" s="2" t="n">
        <v>3</v>
      </c>
      <c r="G502" s="2" t="s">
        <v>35</v>
      </c>
      <c r="H502" s="2" t="s">
        <v>1199</v>
      </c>
      <c r="I502" s="2" t="n">
        <v>8</v>
      </c>
      <c r="J502" s="2" t="n">
        <v>2</v>
      </c>
      <c r="K502" s="2" t="s">
        <v>64</v>
      </c>
      <c r="L502" s="2" t="s">
        <v>86</v>
      </c>
      <c r="M502" s="2"/>
      <c r="N502" s="2"/>
      <c r="O502" s="3" t="s">
        <v>527</v>
      </c>
      <c r="P502" s="2" t="s">
        <v>142</v>
      </c>
      <c r="Q502" s="2" t="s">
        <v>143</v>
      </c>
      <c r="R502" s="2" t="s">
        <v>3320</v>
      </c>
      <c r="S502" s="2" t="s">
        <v>3321</v>
      </c>
      <c r="T502" s="3" t="s">
        <v>3322</v>
      </c>
      <c r="U502" s="3"/>
      <c r="V502" s="3" t="s">
        <v>3323</v>
      </c>
      <c r="W502" s="3" t="s">
        <v>3324</v>
      </c>
      <c r="X502" s="2" t="n">
        <v>15</v>
      </c>
      <c r="Y502" s="2" t="n">
        <v>3</v>
      </c>
      <c r="Z502" s="2" t="s">
        <v>47</v>
      </c>
      <c r="AA502" s="3"/>
      <c r="AB502" s="5"/>
      <c r="AC502" s="5"/>
      <c r="AD502" s="3" t="s">
        <v>3325</v>
      </c>
      <c r="AE502" s="3" t="s">
        <v>3326</v>
      </c>
    </row>
    <row r="503" customFormat="false" ht="60" hidden="false" customHeight="true" outlineLevel="0" collapsed="false">
      <c r="A503" s="2" t="s">
        <v>3327</v>
      </c>
      <c r="B503" s="2" t="n">
        <v>2026</v>
      </c>
      <c r="C503" s="2" t="s">
        <v>160</v>
      </c>
      <c r="D503" s="2" t="s">
        <v>2623</v>
      </c>
      <c r="E503" s="2" t="s">
        <v>104</v>
      </c>
      <c r="F503" s="2" t="n">
        <v>3</v>
      </c>
      <c r="G503" s="2" t="s">
        <v>52</v>
      </c>
      <c r="H503" s="2" t="s">
        <v>1199</v>
      </c>
      <c r="I503" s="2" t="n">
        <v>12</v>
      </c>
      <c r="J503" s="2" t="n">
        <v>4</v>
      </c>
      <c r="K503" s="2" t="s">
        <v>813</v>
      </c>
      <c r="L503" s="2"/>
      <c r="M503" s="2"/>
      <c r="N503" s="2"/>
      <c r="O503" s="3" t="s">
        <v>308</v>
      </c>
      <c r="P503" s="2" t="s">
        <v>433</v>
      </c>
      <c r="Q503" s="2" t="s">
        <v>434</v>
      </c>
      <c r="R503" s="2" t="s">
        <v>1206</v>
      </c>
      <c r="S503" s="2" t="s">
        <v>1207</v>
      </c>
      <c r="T503" s="3" t="s">
        <v>3328</v>
      </c>
      <c r="U503" s="3"/>
      <c r="V503" s="3" t="s">
        <v>3329</v>
      </c>
      <c r="W503" s="3" t="s">
        <v>3330</v>
      </c>
      <c r="X503" s="2" t="n">
        <v>16</v>
      </c>
      <c r="Y503" s="2" t="n">
        <v>3</v>
      </c>
      <c r="Z503" s="2" t="s">
        <v>47</v>
      </c>
      <c r="AA503" s="3"/>
      <c r="AB503" s="5"/>
      <c r="AC503" s="5"/>
      <c r="AD503" s="3"/>
      <c r="AE503" s="3" t="s">
        <v>3331</v>
      </c>
    </row>
    <row r="504" customFormat="false" ht="60" hidden="false" customHeight="true" outlineLevel="0" collapsed="false">
      <c r="A504" s="2" t="s">
        <v>3332</v>
      </c>
      <c r="B504" s="2" t="n">
        <v>2026</v>
      </c>
      <c r="C504" s="2" t="s">
        <v>160</v>
      </c>
      <c r="D504" s="2" t="s">
        <v>2623</v>
      </c>
      <c r="E504" s="2" t="s">
        <v>1230</v>
      </c>
      <c r="F504" s="2" t="n">
        <v>4</v>
      </c>
      <c r="G504" s="2" t="s">
        <v>35</v>
      </c>
      <c r="H504" s="2" t="s">
        <v>1231</v>
      </c>
      <c r="I504" s="2" t="n">
        <v>8</v>
      </c>
      <c r="J504" s="2" t="n">
        <v>2</v>
      </c>
      <c r="K504" s="2" t="s">
        <v>64</v>
      </c>
      <c r="L504" s="2" t="s">
        <v>86</v>
      </c>
      <c r="M504" s="2"/>
      <c r="N504" s="2"/>
      <c r="O504" s="3"/>
      <c r="P504" s="2" t="s">
        <v>1232</v>
      </c>
      <c r="Q504" s="2" t="s">
        <v>1233</v>
      </c>
      <c r="R504" s="2" t="s">
        <v>1234</v>
      </c>
      <c r="S504" s="2" t="s">
        <v>1235</v>
      </c>
      <c r="T504" s="3" t="s">
        <v>3333</v>
      </c>
      <c r="U504" s="3"/>
      <c r="V504" s="3" t="s">
        <v>3334</v>
      </c>
      <c r="W504" s="3" t="s">
        <v>3335</v>
      </c>
      <c r="X504" s="2" t="n">
        <v>18</v>
      </c>
      <c r="Y504" s="2" t="n">
        <v>4</v>
      </c>
      <c r="Z504" s="2" t="s">
        <v>47</v>
      </c>
      <c r="AA504" s="3"/>
      <c r="AB504" s="5"/>
      <c r="AC504" s="5"/>
      <c r="AD504" s="3" t="s">
        <v>3336</v>
      </c>
      <c r="AE504" s="3" t="s">
        <v>3337</v>
      </c>
    </row>
    <row r="505" customFormat="false" ht="60" hidden="false" customHeight="true" outlineLevel="0" collapsed="false">
      <c r="A505" s="2" t="s">
        <v>3338</v>
      </c>
      <c r="B505" s="2" t="n">
        <v>2026</v>
      </c>
      <c r="C505" s="2" t="s">
        <v>160</v>
      </c>
      <c r="D505" s="2" t="s">
        <v>2623</v>
      </c>
      <c r="E505" s="2" t="s">
        <v>1230</v>
      </c>
      <c r="F505" s="2" t="n">
        <v>4</v>
      </c>
      <c r="G505" s="2" t="s">
        <v>52</v>
      </c>
      <c r="H505" s="2" t="s">
        <v>1231</v>
      </c>
      <c r="I505" s="2" t="n">
        <v>12</v>
      </c>
      <c r="J505" s="2" t="n">
        <v>4</v>
      </c>
      <c r="K505" s="2" t="s">
        <v>813</v>
      </c>
      <c r="L505" s="2"/>
      <c r="M505" s="2"/>
      <c r="N505" s="2"/>
      <c r="O505" s="3" t="s">
        <v>232</v>
      </c>
      <c r="P505" s="2" t="s">
        <v>201</v>
      </c>
      <c r="Q505" s="2" t="s">
        <v>202</v>
      </c>
      <c r="R505" s="2" t="s">
        <v>3339</v>
      </c>
      <c r="S505" s="2" t="s">
        <v>3340</v>
      </c>
      <c r="T505" s="3" t="s">
        <v>3341</v>
      </c>
      <c r="U505" s="3"/>
      <c r="V505" s="3" t="s">
        <v>3342</v>
      </c>
      <c r="W505" s="3" t="s">
        <v>3343</v>
      </c>
      <c r="X505" s="2" t="n">
        <v>19</v>
      </c>
      <c r="Y505" s="2" t="n">
        <v>4</v>
      </c>
      <c r="Z505" s="2" t="s">
        <v>47</v>
      </c>
      <c r="AA505" s="3"/>
      <c r="AB505" s="5"/>
      <c r="AC505" s="5"/>
      <c r="AD505" s="3"/>
      <c r="AE505" s="3" t="s">
        <v>3344</v>
      </c>
    </row>
    <row r="506" customFormat="false" ht="60" hidden="false" customHeight="true" outlineLevel="0" collapsed="false">
      <c r="A506" s="2" t="s">
        <v>3345</v>
      </c>
      <c r="B506" s="2" t="n">
        <v>2026</v>
      </c>
      <c r="C506" s="2" t="s">
        <v>160</v>
      </c>
      <c r="D506" s="2" t="s">
        <v>2623</v>
      </c>
      <c r="E506" s="2" t="s">
        <v>1230</v>
      </c>
      <c r="F506" s="2" t="n">
        <v>5</v>
      </c>
      <c r="G506" s="2" t="s">
        <v>35</v>
      </c>
      <c r="H506" s="2" t="s">
        <v>1231</v>
      </c>
      <c r="I506" s="2" t="n">
        <v>8</v>
      </c>
      <c r="J506" s="2" t="n">
        <v>2</v>
      </c>
      <c r="K506" s="2" t="s">
        <v>64</v>
      </c>
      <c r="L506" s="2" t="s">
        <v>86</v>
      </c>
      <c r="M506" s="2"/>
      <c r="N506" s="2"/>
      <c r="O506" s="3" t="s">
        <v>527</v>
      </c>
      <c r="P506" s="2" t="s">
        <v>193</v>
      </c>
      <c r="Q506" s="2" t="s">
        <v>194</v>
      </c>
      <c r="R506" s="2" t="s">
        <v>2813</v>
      </c>
      <c r="S506" s="2" t="s">
        <v>2814</v>
      </c>
      <c r="T506" s="3" t="s">
        <v>3346</v>
      </c>
      <c r="U506" s="3"/>
      <c r="V506" s="3" t="s">
        <v>3347</v>
      </c>
      <c r="W506" s="3" t="s">
        <v>3348</v>
      </c>
      <c r="X506" s="2" t="n">
        <v>21</v>
      </c>
      <c r="Y506" s="2" t="n">
        <v>4</v>
      </c>
      <c r="Z506" s="2" t="s">
        <v>47</v>
      </c>
      <c r="AA506" s="3"/>
      <c r="AB506" s="5"/>
      <c r="AC506" s="5"/>
      <c r="AD506" s="3" t="s">
        <v>3349</v>
      </c>
      <c r="AE506" s="3" t="s">
        <v>3350</v>
      </c>
    </row>
    <row r="507" customFormat="false" ht="60" hidden="false" customHeight="true" outlineLevel="0" collapsed="false">
      <c r="A507" s="2" t="s">
        <v>3351</v>
      </c>
      <c r="B507" s="2" t="n">
        <v>2026</v>
      </c>
      <c r="C507" s="2" t="s">
        <v>160</v>
      </c>
      <c r="D507" s="2" t="s">
        <v>2623</v>
      </c>
      <c r="E507" s="2" t="s">
        <v>1230</v>
      </c>
      <c r="F507" s="2" t="n">
        <v>5</v>
      </c>
      <c r="G507" s="2" t="s">
        <v>52</v>
      </c>
      <c r="H507" s="2" t="s">
        <v>1231</v>
      </c>
      <c r="I507" s="2" t="n">
        <v>12</v>
      </c>
      <c r="J507" s="2" t="n">
        <v>4</v>
      </c>
      <c r="K507" s="2" t="s">
        <v>813</v>
      </c>
      <c r="L507" s="2"/>
      <c r="M507" s="2"/>
      <c r="N507" s="2"/>
      <c r="O507" s="3" t="s">
        <v>527</v>
      </c>
      <c r="P507" s="2" t="s">
        <v>164</v>
      </c>
      <c r="Q507" s="2" t="s">
        <v>165</v>
      </c>
      <c r="R507" s="2" t="s">
        <v>166</v>
      </c>
      <c r="S507" s="2" t="s">
        <v>1770</v>
      </c>
      <c r="T507" s="3" t="s">
        <v>3352</v>
      </c>
      <c r="U507" s="3"/>
      <c r="V507" s="3" t="s">
        <v>3353</v>
      </c>
      <c r="W507" s="3" t="s">
        <v>3354</v>
      </c>
      <c r="X507" s="2" t="n">
        <v>22</v>
      </c>
      <c r="Y507" s="2" t="n">
        <v>4</v>
      </c>
      <c r="Z507" s="2" t="s">
        <v>47</v>
      </c>
      <c r="AA507" s="3"/>
      <c r="AB507" s="5"/>
      <c r="AC507" s="5"/>
      <c r="AD507" s="3" t="s">
        <v>3355</v>
      </c>
      <c r="AE507" s="3" t="s">
        <v>3356</v>
      </c>
    </row>
  </sheetData>
  <autoFilter ref="A1:AE507"/>
  <dataValidations count="1">
    <dataValidation allowBlank="true" errorStyle="stop" operator="between" showDropDown="false" showErrorMessage="false" showInputMessage="false" sqref="AB2:AB507" type="list">
      <formula1>"Correct,Fix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0"/>
    <col collapsed="false" customWidth="true" hidden="false" outlineLevel="0" max="42" min="3" style="0" width="9"/>
    <col collapsed="false" customWidth="true" hidden="false" outlineLevel="0" max="44" min="43" style="0" width="10"/>
    <col collapsed="false" customWidth="true" hidden="false" outlineLevel="0" max="45" min="45" style="0" width="11"/>
  </cols>
  <sheetData>
    <row r="1" customFormat="false" ht="17.35" hidden="false" customHeight="false" outlineLevel="0" collapsed="false">
      <c r="A1" s="6" t="s">
        <v>3357</v>
      </c>
    </row>
    <row r="2" customFormat="false" ht="15" hidden="false" customHeight="false" outlineLevel="0" collapsed="false">
      <c r="A2" s="7" t="s">
        <v>3358</v>
      </c>
    </row>
    <row r="4" customFormat="false" ht="30" hidden="false" customHeight="true" outlineLevel="0" collapsed="false">
      <c r="A4" s="1" t="s">
        <v>3359</v>
      </c>
      <c r="B4" s="1" t="s">
        <v>3360</v>
      </c>
      <c r="C4" s="1" t="s">
        <v>3361</v>
      </c>
      <c r="D4" s="1" t="s">
        <v>3362</v>
      </c>
      <c r="E4" s="1" t="s">
        <v>3363</v>
      </c>
      <c r="F4" s="1" t="s">
        <v>3364</v>
      </c>
      <c r="G4" s="1" t="s">
        <v>3365</v>
      </c>
      <c r="H4" s="1" t="s">
        <v>3366</v>
      </c>
      <c r="I4" s="1" t="s">
        <v>3367</v>
      </c>
      <c r="J4" s="1" t="s">
        <v>3368</v>
      </c>
      <c r="K4" s="1" t="s">
        <v>3369</v>
      </c>
      <c r="L4" s="1" t="s">
        <v>3370</v>
      </c>
      <c r="M4" s="1" t="s">
        <v>3371</v>
      </c>
      <c r="N4" s="1" t="s">
        <v>3372</v>
      </c>
      <c r="O4" s="1" t="s">
        <v>3373</v>
      </c>
      <c r="P4" s="1" t="s">
        <v>3374</v>
      </c>
      <c r="Q4" s="1" t="s">
        <v>3375</v>
      </c>
      <c r="R4" s="1" t="s">
        <v>3376</v>
      </c>
      <c r="S4" s="1" t="s">
        <v>3377</v>
      </c>
      <c r="T4" s="1" t="s">
        <v>3378</v>
      </c>
      <c r="U4" s="1" t="s">
        <v>3379</v>
      </c>
      <c r="V4" s="1" t="s">
        <v>3380</v>
      </c>
      <c r="W4" s="1" t="s">
        <v>3381</v>
      </c>
      <c r="X4" s="1" t="s">
        <v>3382</v>
      </c>
      <c r="Y4" s="1" t="s">
        <v>3383</v>
      </c>
      <c r="Z4" s="1" t="s">
        <v>3384</v>
      </c>
      <c r="AA4" s="1" t="s">
        <v>3385</v>
      </c>
      <c r="AB4" s="1" t="s">
        <v>3386</v>
      </c>
      <c r="AC4" s="1" t="s">
        <v>3387</v>
      </c>
      <c r="AD4" s="1" t="s">
        <v>3388</v>
      </c>
      <c r="AE4" s="1" t="s">
        <v>3389</v>
      </c>
      <c r="AF4" s="1" t="s">
        <v>3390</v>
      </c>
      <c r="AG4" s="1" t="s">
        <v>3391</v>
      </c>
      <c r="AH4" s="1" t="s">
        <v>3392</v>
      </c>
      <c r="AI4" s="1" t="s">
        <v>3393</v>
      </c>
      <c r="AJ4" s="1" t="s">
        <v>3394</v>
      </c>
      <c r="AK4" s="1" t="s">
        <v>3395</v>
      </c>
      <c r="AL4" s="1" t="s">
        <v>3396</v>
      </c>
      <c r="AM4" s="1" t="s">
        <v>3397</v>
      </c>
      <c r="AN4" s="1" t="s">
        <v>3398</v>
      </c>
      <c r="AO4" s="1" t="s">
        <v>3399</v>
      </c>
      <c r="AP4" s="1" t="s">
        <v>3400</v>
      </c>
      <c r="AQ4" s="1" t="s">
        <v>3401</v>
      </c>
      <c r="AR4" s="1" t="s">
        <v>3402</v>
      </c>
      <c r="AS4" s="1" t="s">
        <v>3403</v>
      </c>
    </row>
    <row r="5" customFormat="false" ht="15" hidden="false" customHeight="false" outlineLevel="0" collapsed="false">
      <c r="A5" s="8" t="s">
        <v>332</v>
      </c>
      <c r="B5" s="8" t="s">
        <v>333</v>
      </c>
      <c r="C5" s="9" t="n">
        <f aca="false">COUNTIFS(Questions!$R$2:$R$1000,"*;"&amp;$A5&amp;";*",Questions!$B$2:$B$1000,2021,Questions!$C$2:$C$1000,"Feb/March",Questions!$D$2:$D$1000,"9708/22")</f>
        <v>0</v>
      </c>
      <c r="D5" s="9" t="n">
        <f aca="false">COUNTIFS(Questions!$R$2:$R$1000,"*;"&amp;$A5&amp;";*",Questions!$B$2:$B$1000,2021,Questions!$C$2:$C$1000,"May/June",Questions!$D$2:$D$1000,"9708/21")</f>
        <v>0</v>
      </c>
      <c r="E5" s="9" t="n">
        <f aca="false">COUNTIFS(Questions!$R$2:$R$1000,"*;"&amp;$A5&amp;";*",Questions!$B$2:$B$1000,2021,Questions!$C$2:$C$1000,"May/June",Questions!$D$2:$D$1000,"9708/22")</f>
        <v>0</v>
      </c>
      <c r="F5" s="9" t="n">
        <f aca="false">COUNTIFS(Questions!$R$2:$R$1000,"*;"&amp;$A5&amp;";*",Questions!$B$2:$B$1000,2021,Questions!$C$2:$C$1000,"May/June",Questions!$D$2:$D$1000,"9708/23")</f>
        <v>1</v>
      </c>
      <c r="G5" s="9" t="n">
        <f aca="false">COUNTIFS(Questions!$R$2:$R$1000,"*;"&amp;$A5&amp;";*",Questions!$B$2:$B$1000,2021,Questions!$C$2:$C$1000,"Oct/Nov",Questions!$D$2:$D$1000,"9708/21")</f>
        <v>0</v>
      </c>
      <c r="H5" s="9" t="n">
        <f aca="false">COUNTIFS(Questions!$R$2:$R$1000,"*;"&amp;$A5&amp;";*",Questions!$B$2:$B$1000,2021,Questions!$C$2:$C$1000,"Oct/Nov",Questions!$D$2:$D$1000,"9708/22")</f>
        <v>1</v>
      </c>
      <c r="I5" s="9" t="n">
        <f aca="false">COUNTIFS(Questions!$R$2:$R$1000,"*;"&amp;$A5&amp;";*",Questions!$B$2:$B$1000,2021,Questions!$C$2:$C$1000,"Oct/Nov",Questions!$D$2:$D$1000,"9708/23")</f>
        <v>1</v>
      </c>
      <c r="J5" s="9" t="n">
        <f aca="false">COUNTIFS(Questions!$R$2:$R$1000,"*;"&amp;$A5&amp;";*",Questions!$B$2:$B$1000,2022,Questions!$C$2:$C$1000,"Feb/March",Questions!$D$2:$D$1000,"9708/22")</f>
        <v>1</v>
      </c>
      <c r="K5" s="9" t="n">
        <f aca="false">COUNTIFS(Questions!$R$2:$R$1000,"*;"&amp;$A5&amp;";*",Questions!$B$2:$B$1000,2022,Questions!$C$2:$C$1000,"May/June",Questions!$D$2:$D$1000,"9708/21")</f>
        <v>0</v>
      </c>
      <c r="L5" s="9" t="n">
        <f aca="false">COUNTIFS(Questions!$R$2:$R$1000,"*;"&amp;$A5&amp;";*",Questions!$B$2:$B$1000,2022,Questions!$C$2:$C$1000,"May/June",Questions!$D$2:$D$1000,"9708/22")</f>
        <v>0</v>
      </c>
      <c r="M5" s="9" t="n">
        <f aca="false">COUNTIFS(Questions!$R$2:$R$1000,"*;"&amp;$A5&amp;";*",Questions!$B$2:$B$1000,2022,Questions!$C$2:$C$1000,"May/June",Questions!$D$2:$D$1000,"9708/23")</f>
        <v>1</v>
      </c>
      <c r="N5" s="9" t="n">
        <f aca="false">COUNTIFS(Questions!$R$2:$R$1000,"*;"&amp;$A5&amp;";*",Questions!$B$2:$B$1000,2022,Questions!$C$2:$C$1000,"Oct/Nov",Questions!$D$2:$D$1000,"9708/21")</f>
        <v>0</v>
      </c>
      <c r="O5" s="9" t="n">
        <f aca="false">COUNTIFS(Questions!$R$2:$R$1000,"*;"&amp;$A5&amp;";*",Questions!$B$2:$B$1000,2022,Questions!$C$2:$C$1000,"Oct/Nov",Questions!$D$2:$D$1000,"9708/22")</f>
        <v>1</v>
      </c>
      <c r="P5" s="9" t="n">
        <f aca="false">COUNTIFS(Questions!$R$2:$R$1000,"*;"&amp;$A5&amp;";*",Questions!$B$2:$B$1000,2022,Questions!$C$2:$C$1000,"Oct/Nov",Questions!$D$2:$D$1000,"9708/23")</f>
        <v>2</v>
      </c>
      <c r="Q5" s="9" t="n">
        <f aca="false">COUNTIFS(Questions!$R$2:$R$1000,"*;"&amp;$A5&amp;";*",Questions!$B$2:$B$1000,2023,Questions!$C$2:$C$1000,"Feb/March",Questions!$D$2:$D$1000,"9708/22")</f>
        <v>0</v>
      </c>
      <c r="R5" s="9" t="n">
        <f aca="false">COUNTIFS(Questions!$R$2:$R$1000,"*;"&amp;$A5&amp;";*",Questions!$B$2:$B$1000,2023,Questions!$C$2:$C$1000,"May/June",Questions!$D$2:$D$1000,"9708/21")</f>
        <v>0</v>
      </c>
      <c r="S5" s="9" t="n">
        <f aca="false">COUNTIFS(Questions!$R$2:$R$1000,"*;"&amp;$A5&amp;";*",Questions!$B$2:$B$1000,2023,Questions!$C$2:$C$1000,"May/June",Questions!$D$2:$D$1000,"9708/22")</f>
        <v>0</v>
      </c>
      <c r="T5" s="9" t="n">
        <f aca="false">COUNTIFS(Questions!$R$2:$R$1000,"*;"&amp;$A5&amp;";*",Questions!$B$2:$B$1000,2023,Questions!$C$2:$C$1000,"May/June",Questions!$D$2:$D$1000,"9708/23")</f>
        <v>0</v>
      </c>
      <c r="U5" s="9" t="n">
        <f aca="false">COUNTIFS(Questions!$R$2:$R$1000,"*;"&amp;$A5&amp;";*",Questions!$B$2:$B$1000,2023,Questions!$C$2:$C$1000,"Oct/Nov",Questions!$D$2:$D$1000,"9708/21")</f>
        <v>0</v>
      </c>
      <c r="V5" s="9" t="n">
        <f aca="false">COUNTIFS(Questions!$R$2:$R$1000,"*;"&amp;$A5&amp;";*",Questions!$B$2:$B$1000,2023,Questions!$C$2:$C$1000,"Oct/Nov",Questions!$D$2:$D$1000,"9708/22")</f>
        <v>0</v>
      </c>
      <c r="W5" s="9" t="n">
        <f aca="false">COUNTIFS(Questions!$R$2:$R$1000,"*;"&amp;$A5&amp;";*",Questions!$B$2:$B$1000,2023,Questions!$C$2:$C$1000,"Oct/Nov",Questions!$D$2:$D$1000,"9708/23")</f>
        <v>0</v>
      </c>
      <c r="X5" s="9" t="n">
        <f aca="false">COUNTIFS(Questions!$R$2:$R$1000,"*;"&amp;$A5&amp;";*",Questions!$B$2:$B$1000,2024,Questions!$C$2:$C$1000,"Feb/March",Questions!$D$2:$D$1000,"9708/22")</f>
        <v>0</v>
      </c>
      <c r="Y5" s="9" t="n">
        <f aca="false">COUNTIFS(Questions!$R$2:$R$1000,"*;"&amp;$A5&amp;";*",Questions!$B$2:$B$1000,2024,Questions!$C$2:$C$1000,"May/June",Questions!$D$2:$D$1000,"9708/21")</f>
        <v>0</v>
      </c>
      <c r="Z5" s="9" t="n">
        <f aca="false">COUNTIFS(Questions!$R$2:$R$1000,"*;"&amp;$A5&amp;";*",Questions!$B$2:$B$1000,2024,Questions!$C$2:$C$1000,"May/June",Questions!$D$2:$D$1000,"9708/22")</f>
        <v>0</v>
      </c>
      <c r="AA5" s="9" t="n">
        <f aca="false">COUNTIFS(Questions!$R$2:$R$1000,"*;"&amp;$A5&amp;";*",Questions!$B$2:$B$1000,2024,Questions!$C$2:$C$1000,"May/June",Questions!$D$2:$D$1000,"9708/23")</f>
        <v>0</v>
      </c>
      <c r="AB5" s="9" t="n">
        <f aca="false">COUNTIFS(Questions!$R$2:$R$1000,"*;"&amp;$A5&amp;";*",Questions!$B$2:$B$1000,2024,Questions!$C$2:$C$1000,"Oct/Nov",Questions!$D$2:$D$1000,"9708/21")</f>
        <v>0</v>
      </c>
      <c r="AC5" s="9" t="n">
        <f aca="false">COUNTIFS(Questions!$R$2:$R$1000,"*;"&amp;$A5&amp;";*",Questions!$B$2:$B$1000,2024,Questions!$C$2:$C$1000,"Oct/Nov",Questions!$D$2:$D$1000,"9708/22")</f>
        <v>2</v>
      </c>
      <c r="AD5" s="9" t="n">
        <f aca="false">COUNTIFS(Questions!$R$2:$R$1000,"*;"&amp;$A5&amp;";*",Questions!$B$2:$B$1000,2024,Questions!$C$2:$C$1000,"Oct/Nov",Questions!$D$2:$D$1000,"9708/23")</f>
        <v>0</v>
      </c>
      <c r="AE5" s="9" t="n">
        <f aca="false">COUNTIFS(Questions!$R$2:$R$1000,"*;"&amp;$A5&amp;";*",Questions!$B$2:$B$1000,2025,Questions!$C$2:$C$1000,"May/June",Questions!$D$2:$D$1000,"9708/21")</f>
        <v>1</v>
      </c>
      <c r="AF5" s="9" t="n">
        <f aca="false">COUNTIFS(Questions!$R$2:$R$1000,"*;"&amp;$A5&amp;";*",Questions!$B$2:$B$1000,2025,Questions!$C$2:$C$1000,"May/June",Questions!$D$2:$D$1000,"9708/22")</f>
        <v>0</v>
      </c>
      <c r="AG5" s="9" t="n">
        <f aca="false">COUNTIFS(Questions!$R$2:$R$1000,"*;"&amp;$A5&amp;";*",Questions!$B$2:$B$1000,2025,Questions!$C$2:$C$1000,"May/June",Questions!$D$2:$D$1000,"9708/23")</f>
        <v>1</v>
      </c>
      <c r="AH5" s="9" t="n">
        <f aca="false">COUNTIFS(Questions!$R$2:$R$1000,"*;"&amp;$A5&amp;";*",Questions!$B$2:$B$1000,2025,Questions!$C$2:$C$1000,"May/June",Questions!$D$2:$D$1000,"9708/24")</f>
        <v>0</v>
      </c>
      <c r="AI5" s="9" t="n">
        <f aca="false">COUNTIFS(Questions!$R$2:$R$1000,"*;"&amp;$A5&amp;";*",Questions!$B$2:$B$1000,2025,Questions!$C$2:$C$1000,"Oct/Nov",Questions!$D$2:$D$1000,"9708/21")</f>
        <v>2</v>
      </c>
      <c r="AJ5" s="9" t="n">
        <f aca="false">COUNTIFS(Questions!$R$2:$R$1000,"*;"&amp;$A5&amp;";*",Questions!$B$2:$B$1000,2025,Questions!$C$2:$C$1000,"Oct/Nov",Questions!$D$2:$D$1000,"9708/22")</f>
        <v>1</v>
      </c>
      <c r="AK5" s="9" t="n">
        <f aca="false">COUNTIFS(Questions!$R$2:$R$1000,"*;"&amp;$A5&amp;";*",Questions!$B$2:$B$1000,2025,Questions!$C$2:$C$1000,"Oct/Nov",Questions!$D$2:$D$1000,"9708/23")</f>
        <v>1</v>
      </c>
      <c r="AL5" s="9" t="n">
        <f aca="false">COUNTIFS(Questions!$R$2:$R$1000,"*;"&amp;$A5&amp;";*",Questions!$B$2:$B$1000,2025,Questions!$C$2:$C$1000,"Oct/Nov",Questions!$D$2:$D$1000,"9708/24")</f>
        <v>0</v>
      </c>
      <c r="AM5" s="9" t="n">
        <f aca="false">COUNTIFS(Questions!$R$2:$R$1000,"*;"&amp;$A5&amp;";*",Questions!$B$2:$B$1000,2026,Questions!$C$2:$C$1000,"May/June",Questions!$D$2:$D$1000,"9708/21")</f>
        <v>0</v>
      </c>
      <c r="AN5" s="9" t="n">
        <f aca="false">COUNTIFS(Questions!$R$2:$R$1000,"*;"&amp;$A5&amp;";*",Questions!$B$2:$B$1000,2026,Questions!$C$2:$C$1000,"May/June",Questions!$D$2:$D$1000,"9708/22")</f>
        <v>0</v>
      </c>
      <c r="AO5" s="9" t="n">
        <f aca="false">COUNTIFS(Questions!$R$2:$R$1000,"*;"&amp;$A5&amp;";*",Questions!$B$2:$B$1000,2026,Questions!$C$2:$C$1000,"May/June",Questions!$D$2:$D$1000,"9708/23")</f>
        <v>0</v>
      </c>
      <c r="AP5" s="9" t="n">
        <f aca="false">COUNTIFS(Questions!$R$2:$R$1000,"*;"&amp;$A5&amp;";*",Questions!$B$2:$B$1000,2026,Questions!$C$2:$C$1000,"May/June",Questions!$D$2:$D$1000,"9708/24")</f>
        <v>0</v>
      </c>
      <c r="AQ5" s="9" t="n">
        <f aca="false">SUM(C5:AP5)</f>
        <v>16</v>
      </c>
      <c r="AR5" s="9" t="n">
        <f aca="false">COUNTIF(Questions!$P$2:$P$1000,$A5)</f>
        <v>5</v>
      </c>
      <c r="AS5" s="9" t="n">
        <f aca="false">SUMIF(Questions!$P$2:$P$1000,$A5,Questions!$I$2:$I$1000)</f>
        <v>16</v>
      </c>
    </row>
    <row r="6" customFormat="false" ht="15" hidden="false" customHeight="false" outlineLevel="0" collapsed="false">
      <c r="A6" s="8" t="s">
        <v>3404</v>
      </c>
      <c r="B6" s="8" t="s">
        <v>3405</v>
      </c>
      <c r="C6" s="9" t="n">
        <f aca="false">COUNTIFS(Questions!$R$2:$R$1000,"*;"&amp;$A6&amp;";*",Questions!$B$2:$B$1000,2021,Questions!$C$2:$C$1000,"Feb/March",Questions!$D$2:$D$1000,"9708/22")</f>
        <v>0</v>
      </c>
      <c r="D6" s="9" t="n">
        <f aca="false">COUNTIFS(Questions!$R$2:$R$1000,"*;"&amp;$A6&amp;";*",Questions!$B$2:$B$1000,2021,Questions!$C$2:$C$1000,"May/June",Questions!$D$2:$D$1000,"9708/21")</f>
        <v>0</v>
      </c>
      <c r="E6" s="9" t="n">
        <f aca="false">COUNTIFS(Questions!$R$2:$R$1000,"*;"&amp;$A6&amp;";*",Questions!$B$2:$B$1000,2021,Questions!$C$2:$C$1000,"May/June",Questions!$D$2:$D$1000,"9708/22")</f>
        <v>0</v>
      </c>
      <c r="F6" s="9" t="n">
        <f aca="false">COUNTIFS(Questions!$R$2:$R$1000,"*;"&amp;$A6&amp;";*",Questions!$B$2:$B$1000,2021,Questions!$C$2:$C$1000,"May/June",Questions!$D$2:$D$1000,"9708/23")</f>
        <v>0</v>
      </c>
      <c r="G6" s="9" t="n">
        <f aca="false">COUNTIFS(Questions!$R$2:$R$1000,"*;"&amp;$A6&amp;";*",Questions!$B$2:$B$1000,2021,Questions!$C$2:$C$1000,"Oct/Nov",Questions!$D$2:$D$1000,"9708/21")</f>
        <v>0</v>
      </c>
      <c r="H6" s="9" t="n">
        <f aca="false">COUNTIFS(Questions!$R$2:$R$1000,"*;"&amp;$A6&amp;";*",Questions!$B$2:$B$1000,2021,Questions!$C$2:$C$1000,"Oct/Nov",Questions!$D$2:$D$1000,"9708/22")</f>
        <v>0</v>
      </c>
      <c r="I6" s="9" t="n">
        <f aca="false">COUNTIFS(Questions!$R$2:$R$1000,"*;"&amp;$A6&amp;";*",Questions!$B$2:$B$1000,2021,Questions!$C$2:$C$1000,"Oct/Nov",Questions!$D$2:$D$1000,"9708/23")</f>
        <v>0</v>
      </c>
      <c r="J6" s="9" t="n">
        <f aca="false">COUNTIFS(Questions!$R$2:$R$1000,"*;"&amp;$A6&amp;";*",Questions!$B$2:$B$1000,2022,Questions!$C$2:$C$1000,"Feb/March",Questions!$D$2:$D$1000,"9708/22")</f>
        <v>0</v>
      </c>
      <c r="K6" s="9" t="n">
        <f aca="false">COUNTIFS(Questions!$R$2:$R$1000,"*;"&amp;$A6&amp;";*",Questions!$B$2:$B$1000,2022,Questions!$C$2:$C$1000,"May/June",Questions!$D$2:$D$1000,"9708/21")</f>
        <v>0</v>
      </c>
      <c r="L6" s="9" t="n">
        <f aca="false">COUNTIFS(Questions!$R$2:$R$1000,"*;"&amp;$A6&amp;";*",Questions!$B$2:$B$1000,2022,Questions!$C$2:$C$1000,"May/June",Questions!$D$2:$D$1000,"9708/22")</f>
        <v>0</v>
      </c>
      <c r="M6" s="9" t="n">
        <f aca="false">COUNTIFS(Questions!$R$2:$R$1000,"*;"&amp;$A6&amp;";*",Questions!$B$2:$B$1000,2022,Questions!$C$2:$C$1000,"May/June",Questions!$D$2:$D$1000,"9708/23")</f>
        <v>0</v>
      </c>
      <c r="N6" s="9" t="n">
        <f aca="false">COUNTIFS(Questions!$R$2:$R$1000,"*;"&amp;$A6&amp;";*",Questions!$B$2:$B$1000,2022,Questions!$C$2:$C$1000,"Oct/Nov",Questions!$D$2:$D$1000,"9708/21")</f>
        <v>0</v>
      </c>
      <c r="O6" s="9" t="n">
        <f aca="false">COUNTIFS(Questions!$R$2:$R$1000,"*;"&amp;$A6&amp;";*",Questions!$B$2:$B$1000,2022,Questions!$C$2:$C$1000,"Oct/Nov",Questions!$D$2:$D$1000,"9708/22")</f>
        <v>0</v>
      </c>
      <c r="P6" s="9" t="n">
        <f aca="false">COUNTIFS(Questions!$R$2:$R$1000,"*;"&amp;$A6&amp;";*",Questions!$B$2:$B$1000,2022,Questions!$C$2:$C$1000,"Oct/Nov",Questions!$D$2:$D$1000,"9708/23")</f>
        <v>0</v>
      </c>
      <c r="Q6" s="9" t="n">
        <f aca="false">COUNTIFS(Questions!$R$2:$R$1000,"*;"&amp;$A6&amp;";*",Questions!$B$2:$B$1000,2023,Questions!$C$2:$C$1000,"Feb/March",Questions!$D$2:$D$1000,"9708/22")</f>
        <v>0</v>
      </c>
      <c r="R6" s="9" t="n">
        <f aca="false">COUNTIFS(Questions!$R$2:$R$1000,"*;"&amp;$A6&amp;";*",Questions!$B$2:$B$1000,2023,Questions!$C$2:$C$1000,"May/June",Questions!$D$2:$D$1000,"9708/21")</f>
        <v>0</v>
      </c>
      <c r="S6" s="9" t="n">
        <f aca="false">COUNTIFS(Questions!$R$2:$R$1000,"*;"&amp;$A6&amp;";*",Questions!$B$2:$B$1000,2023,Questions!$C$2:$C$1000,"May/June",Questions!$D$2:$D$1000,"9708/22")</f>
        <v>0</v>
      </c>
      <c r="T6" s="9" t="n">
        <f aca="false">COUNTIFS(Questions!$R$2:$R$1000,"*;"&amp;$A6&amp;";*",Questions!$B$2:$B$1000,2023,Questions!$C$2:$C$1000,"May/June",Questions!$D$2:$D$1000,"9708/23")</f>
        <v>0</v>
      </c>
      <c r="U6" s="9" t="n">
        <f aca="false">COUNTIFS(Questions!$R$2:$R$1000,"*;"&amp;$A6&amp;";*",Questions!$B$2:$B$1000,2023,Questions!$C$2:$C$1000,"Oct/Nov",Questions!$D$2:$D$1000,"9708/21")</f>
        <v>0</v>
      </c>
      <c r="V6" s="9" t="n">
        <f aca="false">COUNTIFS(Questions!$R$2:$R$1000,"*;"&amp;$A6&amp;";*",Questions!$B$2:$B$1000,2023,Questions!$C$2:$C$1000,"Oct/Nov",Questions!$D$2:$D$1000,"9708/22")</f>
        <v>0</v>
      </c>
      <c r="W6" s="9" t="n">
        <f aca="false">COUNTIFS(Questions!$R$2:$R$1000,"*;"&amp;$A6&amp;";*",Questions!$B$2:$B$1000,2023,Questions!$C$2:$C$1000,"Oct/Nov",Questions!$D$2:$D$1000,"9708/23")</f>
        <v>0</v>
      </c>
      <c r="X6" s="9" t="n">
        <f aca="false">COUNTIFS(Questions!$R$2:$R$1000,"*;"&amp;$A6&amp;";*",Questions!$B$2:$B$1000,2024,Questions!$C$2:$C$1000,"Feb/March",Questions!$D$2:$D$1000,"9708/22")</f>
        <v>0</v>
      </c>
      <c r="Y6" s="9" t="n">
        <f aca="false">COUNTIFS(Questions!$R$2:$R$1000,"*;"&amp;$A6&amp;";*",Questions!$B$2:$B$1000,2024,Questions!$C$2:$C$1000,"May/June",Questions!$D$2:$D$1000,"9708/21")</f>
        <v>0</v>
      </c>
      <c r="Z6" s="9" t="n">
        <f aca="false">COUNTIFS(Questions!$R$2:$R$1000,"*;"&amp;$A6&amp;";*",Questions!$B$2:$B$1000,2024,Questions!$C$2:$C$1000,"May/June",Questions!$D$2:$D$1000,"9708/22")</f>
        <v>0</v>
      </c>
      <c r="AA6" s="9" t="n">
        <f aca="false">COUNTIFS(Questions!$R$2:$R$1000,"*;"&amp;$A6&amp;";*",Questions!$B$2:$B$1000,2024,Questions!$C$2:$C$1000,"May/June",Questions!$D$2:$D$1000,"9708/23")</f>
        <v>0</v>
      </c>
      <c r="AB6" s="9" t="n">
        <f aca="false">COUNTIFS(Questions!$R$2:$R$1000,"*;"&amp;$A6&amp;";*",Questions!$B$2:$B$1000,2024,Questions!$C$2:$C$1000,"Oct/Nov",Questions!$D$2:$D$1000,"9708/21")</f>
        <v>0</v>
      </c>
      <c r="AC6" s="9" t="n">
        <f aca="false">COUNTIFS(Questions!$R$2:$R$1000,"*;"&amp;$A6&amp;";*",Questions!$B$2:$B$1000,2024,Questions!$C$2:$C$1000,"Oct/Nov",Questions!$D$2:$D$1000,"9708/22")</f>
        <v>0</v>
      </c>
      <c r="AD6" s="9" t="n">
        <f aca="false">COUNTIFS(Questions!$R$2:$R$1000,"*;"&amp;$A6&amp;";*",Questions!$B$2:$B$1000,2024,Questions!$C$2:$C$1000,"Oct/Nov",Questions!$D$2:$D$1000,"9708/23")</f>
        <v>0</v>
      </c>
      <c r="AE6" s="9" t="n">
        <f aca="false">COUNTIFS(Questions!$R$2:$R$1000,"*;"&amp;$A6&amp;";*",Questions!$B$2:$B$1000,2025,Questions!$C$2:$C$1000,"May/June",Questions!$D$2:$D$1000,"9708/21")</f>
        <v>0</v>
      </c>
      <c r="AF6" s="9" t="n">
        <f aca="false">COUNTIFS(Questions!$R$2:$R$1000,"*;"&amp;$A6&amp;";*",Questions!$B$2:$B$1000,2025,Questions!$C$2:$C$1000,"May/June",Questions!$D$2:$D$1000,"9708/22")</f>
        <v>0</v>
      </c>
      <c r="AG6" s="9" t="n">
        <f aca="false">COUNTIFS(Questions!$R$2:$R$1000,"*;"&amp;$A6&amp;";*",Questions!$B$2:$B$1000,2025,Questions!$C$2:$C$1000,"May/June",Questions!$D$2:$D$1000,"9708/23")</f>
        <v>0</v>
      </c>
      <c r="AH6" s="9" t="n">
        <f aca="false">COUNTIFS(Questions!$R$2:$R$1000,"*;"&amp;$A6&amp;";*",Questions!$B$2:$B$1000,2025,Questions!$C$2:$C$1000,"May/June",Questions!$D$2:$D$1000,"9708/24")</f>
        <v>0</v>
      </c>
      <c r="AI6" s="9" t="n">
        <f aca="false">COUNTIFS(Questions!$R$2:$R$1000,"*;"&amp;$A6&amp;";*",Questions!$B$2:$B$1000,2025,Questions!$C$2:$C$1000,"Oct/Nov",Questions!$D$2:$D$1000,"9708/21")</f>
        <v>0</v>
      </c>
      <c r="AJ6" s="9" t="n">
        <f aca="false">COUNTIFS(Questions!$R$2:$R$1000,"*;"&amp;$A6&amp;";*",Questions!$B$2:$B$1000,2025,Questions!$C$2:$C$1000,"Oct/Nov",Questions!$D$2:$D$1000,"9708/22")</f>
        <v>0</v>
      </c>
      <c r="AK6" s="9" t="n">
        <f aca="false">COUNTIFS(Questions!$R$2:$R$1000,"*;"&amp;$A6&amp;";*",Questions!$B$2:$B$1000,2025,Questions!$C$2:$C$1000,"Oct/Nov",Questions!$D$2:$D$1000,"9708/23")</f>
        <v>0</v>
      </c>
      <c r="AL6" s="9" t="n">
        <f aca="false">COUNTIFS(Questions!$R$2:$R$1000,"*;"&amp;$A6&amp;";*",Questions!$B$2:$B$1000,2025,Questions!$C$2:$C$1000,"Oct/Nov",Questions!$D$2:$D$1000,"9708/24")</f>
        <v>0</v>
      </c>
      <c r="AM6" s="9" t="n">
        <f aca="false">COUNTIFS(Questions!$R$2:$R$1000,"*;"&amp;$A6&amp;";*",Questions!$B$2:$B$1000,2026,Questions!$C$2:$C$1000,"May/June",Questions!$D$2:$D$1000,"9708/21")</f>
        <v>0</v>
      </c>
      <c r="AN6" s="9" t="n">
        <f aca="false">COUNTIFS(Questions!$R$2:$R$1000,"*;"&amp;$A6&amp;";*",Questions!$B$2:$B$1000,2026,Questions!$C$2:$C$1000,"May/June",Questions!$D$2:$D$1000,"9708/22")</f>
        <v>0</v>
      </c>
      <c r="AO6" s="9" t="n">
        <f aca="false">COUNTIFS(Questions!$R$2:$R$1000,"*;"&amp;$A6&amp;";*",Questions!$B$2:$B$1000,2026,Questions!$C$2:$C$1000,"May/June",Questions!$D$2:$D$1000,"9708/23")</f>
        <v>0</v>
      </c>
      <c r="AP6" s="9" t="n">
        <f aca="false">COUNTIFS(Questions!$R$2:$R$1000,"*;"&amp;$A6&amp;";*",Questions!$B$2:$B$1000,2026,Questions!$C$2:$C$1000,"May/June",Questions!$D$2:$D$1000,"9708/24")</f>
        <v>0</v>
      </c>
      <c r="AQ6" s="9" t="n">
        <f aca="false">SUM(C6:AP6)</f>
        <v>0</v>
      </c>
      <c r="AR6" s="9" t="n">
        <f aca="false">COUNTIF(Questions!$P$2:$P$1000,$A6)</f>
        <v>0</v>
      </c>
      <c r="AS6" s="9" t="n">
        <f aca="false">SUMIF(Questions!$P$2:$P$1000,$A6,Questions!$I$2:$I$1000)</f>
        <v>0</v>
      </c>
    </row>
    <row r="7" customFormat="false" ht="15" hidden="false" customHeight="false" outlineLevel="0" collapsed="false">
      <c r="A7" s="8" t="s">
        <v>1408</v>
      </c>
      <c r="B7" s="8" t="s">
        <v>1409</v>
      </c>
      <c r="C7" s="9" t="n">
        <f aca="false">COUNTIFS(Questions!$R$2:$R$1000,"*;"&amp;$A7&amp;";*",Questions!$B$2:$B$1000,2021,Questions!$C$2:$C$1000,"Feb/March",Questions!$D$2:$D$1000,"9708/22")</f>
        <v>2</v>
      </c>
      <c r="D7" s="9" t="n">
        <f aca="false">COUNTIFS(Questions!$R$2:$R$1000,"*;"&amp;$A7&amp;";*",Questions!$B$2:$B$1000,2021,Questions!$C$2:$C$1000,"May/June",Questions!$D$2:$D$1000,"9708/21")</f>
        <v>0</v>
      </c>
      <c r="E7" s="9" t="n">
        <f aca="false">COUNTIFS(Questions!$R$2:$R$1000,"*;"&amp;$A7&amp;";*",Questions!$B$2:$B$1000,2021,Questions!$C$2:$C$1000,"May/June",Questions!$D$2:$D$1000,"9708/22")</f>
        <v>0</v>
      </c>
      <c r="F7" s="9" t="n">
        <f aca="false">COUNTIFS(Questions!$R$2:$R$1000,"*;"&amp;$A7&amp;";*",Questions!$B$2:$B$1000,2021,Questions!$C$2:$C$1000,"May/June",Questions!$D$2:$D$1000,"9708/23")</f>
        <v>0</v>
      </c>
      <c r="G7" s="9" t="n">
        <f aca="false">COUNTIFS(Questions!$R$2:$R$1000,"*;"&amp;$A7&amp;";*",Questions!$B$2:$B$1000,2021,Questions!$C$2:$C$1000,"Oct/Nov",Questions!$D$2:$D$1000,"9708/21")</f>
        <v>0</v>
      </c>
      <c r="H7" s="9" t="n">
        <f aca="false">COUNTIFS(Questions!$R$2:$R$1000,"*;"&amp;$A7&amp;";*",Questions!$B$2:$B$1000,2021,Questions!$C$2:$C$1000,"Oct/Nov",Questions!$D$2:$D$1000,"9708/22")</f>
        <v>0</v>
      </c>
      <c r="I7" s="9" t="n">
        <f aca="false">COUNTIFS(Questions!$R$2:$R$1000,"*;"&amp;$A7&amp;";*",Questions!$B$2:$B$1000,2021,Questions!$C$2:$C$1000,"Oct/Nov",Questions!$D$2:$D$1000,"9708/23")</f>
        <v>0</v>
      </c>
      <c r="J7" s="9" t="n">
        <f aca="false">COUNTIFS(Questions!$R$2:$R$1000,"*;"&amp;$A7&amp;";*",Questions!$B$2:$B$1000,2022,Questions!$C$2:$C$1000,"Feb/March",Questions!$D$2:$D$1000,"9708/22")</f>
        <v>0</v>
      </c>
      <c r="K7" s="9" t="n">
        <f aca="false">COUNTIFS(Questions!$R$2:$R$1000,"*;"&amp;$A7&amp;";*",Questions!$B$2:$B$1000,2022,Questions!$C$2:$C$1000,"May/June",Questions!$D$2:$D$1000,"9708/21")</f>
        <v>0</v>
      </c>
      <c r="L7" s="9" t="n">
        <f aca="false">COUNTIFS(Questions!$R$2:$R$1000,"*;"&amp;$A7&amp;";*",Questions!$B$2:$B$1000,2022,Questions!$C$2:$C$1000,"May/June",Questions!$D$2:$D$1000,"9708/22")</f>
        <v>0</v>
      </c>
      <c r="M7" s="9" t="n">
        <f aca="false">COUNTIFS(Questions!$R$2:$R$1000,"*;"&amp;$A7&amp;";*",Questions!$B$2:$B$1000,2022,Questions!$C$2:$C$1000,"May/June",Questions!$D$2:$D$1000,"9708/23")</f>
        <v>0</v>
      </c>
      <c r="N7" s="9" t="n">
        <f aca="false">COUNTIFS(Questions!$R$2:$R$1000,"*;"&amp;$A7&amp;";*",Questions!$B$2:$B$1000,2022,Questions!$C$2:$C$1000,"Oct/Nov",Questions!$D$2:$D$1000,"9708/21")</f>
        <v>2</v>
      </c>
      <c r="O7" s="9" t="n">
        <f aca="false">COUNTIFS(Questions!$R$2:$R$1000,"*;"&amp;$A7&amp;";*",Questions!$B$2:$B$1000,2022,Questions!$C$2:$C$1000,"Oct/Nov",Questions!$D$2:$D$1000,"9708/22")</f>
        <v>0</v>
      </c>
      <c r="P7" s="9" t="n">
        <f aca="false">COUNTIFS(Questions!$R$2:$R$1000,"*;"&amp;$A7&amp;";*",Questions!$B$2:$B$1000,2022,Questions!$C$2:$C$1000,"Oct/Nov",Questions!$D$2:$D$1000,"9708/23")</f>
        <v>0</v>
      </c>
      <c r="Q7" s="9" t="n">
        <f aca="false">COUNTIFS(Questions!$R$2:$R$1000,"*;"&amp;$A7&amp;";*",Questions!$B$2:$B$1000,2023,Questions!$C$2:$C$1000,"Feb/March",Questions!$D$2:$D$1000,"9708/22")</f>
        <v>0</v>
      </c>
      <c r="R7" s="9" t="n">
        <f aca="false">COUNTIFS(Questions!$R$2:$R$1000,"*;"&amp;$A7&amp;";*",Questions!$B$2:$B$1000,2023,Questions!$C$2:$C$1000,"May/June",Questions!$D$2:$D$1000,"9708/21")</f>
        <v>0</v>
      </c>
      <c r="S7" s="9" t="n">
        <f aca="false">COUNTIFS(Questions!$R$2:$R$1000,"*;"&amp;$A7&amp;";*",Questions!$B$2:$B$1000,2023,Questions!$C$2:$C$1000,"May/June",Questions!$D$2:$D$1000,"9708/22")</f>
        <v>1</v>
      </c>
      <c r="T7" s="9" t="n">
        <f aca="false">COUNTIFS(Questions!$R$2:$R$1000,"*;"&amp;$A7&amp;";*",Questions!$B$2:$B$1000,2023,Questions!$C$2:$C$1000,"May/June",Questions!$D$2:$D$1000,"9708/23")</f>
        <v>0</v>
      </c>
      <c r="U7" s="9" t="n">
        <f aca="false">COUNTIFS(Questions!$R$2:$R$1000,"*;"&amp;$A7&amp;";*",Questions!$B$2:$B$1000,2023,Questions!$C$2:$C$1000,"Oct/Nov",Questions!$D$2:$D$1000,"9708/21")</f>
        <v>0</v>
      </c>
      <c r="V7" s="9" t="n">
        <f aca="false">COUNTIFS(Questions!$R$2:$R$1000,"*;"&amp;$A7&amp;";*",Questions!$B$2:$B$1000,2023,Questions!$C$2:$C$1000,"Oct/Nov",Questions!$D$2:$D$1000,"9708/22")</f>
        <v>1</v>
      </c>
      <c r="W7" s="9" t="n">
        <f aca="false">COUNTIFS(Questions!$R$2:$R$1000,"*;"&amp;$A7&amp;";*",Questions!$B$2:$B$1000,2023,Questions!$C$2:$C$1000,"Oct/Nov",Questions!$D$2:$D$1000,"9708/23")</f>
        <v>0</v>
      </c>
      <c r="X7" s="9" t="n">
        <f aca="false">COUNTIFS(Questions!$R$2:$R$1000,"*;"&amp;$A7&amp;";*",Questions!$B$2:$B$1000,2024,Questions!$C$2:$C$1000,"Feb/March",Questions!$D$2:$D$1000,"9708/22")</f>
        <v>0</v>
      </c>
      <c r="Y7" s="9" t="n">
        <f aca="false">COUNTIFS(Questions!$R$2:$R$1000,"*;"&amp;$A7&amp;";*",Questions!$B$2:$B$1000,2024,Questions!$C$2:$C$1000,"May/June",Questions!$D$2:$D$1000,"9708/21")</f>
        <v>0</v>
      </c>
      <c r="Z7" s="9" t="n">
        <f aca="false">COUNTIFS(Questions!$R$2:$R$1000,"*;"&amp;$A7&amp;";*",Questions!$B$2:$B$1000,2024,Questions!$C$2:$C$1000,"May/June",Questions!$D$2:$D$1000,"9708/22")</f>
        <v>0</v>
      </c>
      <c r="AA7" s="9" t="n">
        <f aca="false">COUNTIFS(Questions!$R$2:$R$1000,"*;"&amp;$A7&amp;";*",Questions!$B$2:$B$1000,2024,Questions!$C$2:$C$1000,"May/June",Questions!$D$2:$D$1000,"9708/23")</f>
        <v>0</v>
      </c>
      <c r="AB7" s="9" t="n">
        <f aca="false">COUNTIFS(Questions!$R$2:$R$1000,"*;"&amp;$A7&amp;";*",Questions!$B$2:$B$1000,2024,Questions!$C$2:$C$1000,"Oct/Nov",Questions!$D$2:$D$1000,"9708/21")</f>
        <v>0</v>
      </c>
      <c r="AC7" s="9" t="n">
        <f aca="false">COUNTIFS(Questions!$R$2:$R$1000,"*;"&amp;$A7&amp;";*",Questions!$B$2:$B$1000,2024,Questions!$C$2:$C$1000,"Oct/Nov",Questions!$D$2:$D$1000,"9708/22")</f>
        <v>0</v>
      </c>
      <c r="AD7" s="9" t="n">
        <f aca="false">COUNTIFS(Questions!$R$2:$R$1000,"*;"&amp;$A7&amp;";*",Questions!$B$2:$B$1000,2024,Questions!$C$2:$C$1000,"Oct/Nov",Questions!$D$2:$D$1000,"9708/23")</f>
        <v>0</v>
      </c>
      <c r="AE7" s="9" t="n">
        <f aca="false">COUNTIFS(Questions!$R$2:$R$1000,"*;"&amp;$A7&amp;";*",Questions!$B$2:$B$1000,2025,Questions!$C$2:$C$1000,"May/June",Questions!$D$2:$D$1000,"9708/21")</f>
        <v>1</v>
      </c>
      <c r="AF7" s="9" t="n">
        <f aca="false">COUNTIFS(Questions!$R$2:$R$1000,"*;"&amp;$A7&amp;";*",Questions!$B$2:$B$1000,2025,Questions!$C$2:$C$1000,"May/June",Questions!$D$2:$D$1000,"9708/22")</f>
        <v>0</v>
      </c>
      <c r="AG7" s="9" t="n">
        <f aca="false">COUNTIFS(Questions!$R$2:$R$1000,"*;"&amp;$A7&amp;";*",Questions!$B$2:$B$1000,2025,Questions!$C$2:$C$1000,"May/June",Questions!$D$2:$D$1000,"9708/23")</f>
        <v>0</v>
      </c>
      <c r="AH7" s="9" t="n">
        <f aca="false">COUNTIFS(Questions!$R$2:$R$1000,"*;"&amp;$A7&amp;";*",Questions!$B$2:$B$1000,2025,Questions!$C$2:$C$1000,"May/June",Questions!$D$2:$D$1000,"9708/24")</f>
        <v>0</v>
      </c>
      <c r="AI7" s="9" t="n">
        <f aca="false">COUNTIFS(Questions!$R$2:$R$1000,"*;"&amp;$A7&amp;";*",Questions!$B$2:$B$1000,2025,Questions!$C$2:$C$1000,"Oct/Nov",Questions!$D$2:$D$1000,"9708/21")</f>
        <v>0</v>
      </c>
      <c r="AJ7" s="9" t="n">
        <f aca="false">COUNTIFS(Questions!$R$2:$R$1000,"*;"&amp;$A7&amp;";*",Questions!$B$2:$B$1000,2025,Questions!$C$2:$C$1000,"Oct/Nov",Questions!$D$2:$D$1000,"9708/22")</f>
        <v>2</v>
      </c>
      <c r="AK7" s="9" t="n">
        <f aca="false">COUNTIFS(Questions!$R$2:$R$1000,"*;"&amp;$A7&amp;";*",Questions!$B$2:$B$1000,2025,Questions!$C$2:$C$1000,"Oct/Nov",Questions!$D$2:$D$1000,"9708/23")</f>
        <v>2</v>
      </c>
      <c r="AL7" s="9" t="n">
        <f aca="false">COUNTIFS(Questions!$R$2:$R$1000,"*;"&amp;$A7&amp;";*",Questions!$B$2:$B$1000,2025,Questions!$C$2:$C$1000,"Oct/Nov",Questions!$D$2:$D$1000,"9708/24")</f>
        <v>0</v>
      </c>
      <c r="AM7" s="9" t="n">
        <f aca="false">COUNTIFS(Questions!$R$2:$R$1000,"*;"&amp;$A7&amp;";*",Questions!$B$2:$B$1000,2026,Questions!$C$2:$C$1000,"May/June",Questions!$D$2:$D$1000,"9708/21")</f>
        <v>0</v>
      </c>
      <c r="AN7" s="9" t="n">
        <f aca="false">COUNTIFS(Questions!$R$2:$R$1000,"*;"&amp;$A7&amp;";*",Questions!$B$2:$B$1000,2026,Questions!$C$2:$C$1000,"May/June",Questions!$D$2:$D$1000,"9708/22")</f>
        <v>1</v>
      </c>
      <c r="AO7" s="9" t="n">
        <f aca="false">COUNTIFS(Questions!$R$2:$R$1000,"*;"&amp;$A7&amp;";*",Questions!$B$2:$B$1000,2026,Questions!$C$2:$C$1000,"May/June",Questions!$D$2:$D$1000,"9708/23")</f>
        <v>0</v>
      </c>
      <c r="AP7" s="9" t="n">
        <f aca="false">COUNTIFS(Questions!$R$2:$R$1000,"*;"&amp;$A7&amp;";*",Questions!$B$2:$B$1000,2026,Questions!$C$2:$C$1000,"May/June",Questions!$D$2:$D$1000,"9708/24")</f>
        <v>1</v>
      </c>
      <c r="AQ7" s="9" t="n">
        <f aca="false">SUM(C7:AP7)</f>
        <v>13</v>
      </c>
      <c r="AR7" s="9" t="n">
        <f aca="false">COUNTIF(Questions!$P$2:$P$1000,$A7)</f>
        <v>2</v>
      </c>
      <c r="AS7" s="9" t="n">
        <f aca="false">SUMIF(Questions!$P$2:$P$1000,$A7,Questions!$I$2:$I$1000)</f>
        <v>14</v>
      </c>
    </row>
    <row r="8" customFormat="false" ht="15" hidden="false" customHeight="false" outlineLevel="0" collapsed="false">
      <c r="A8" s="8" t="s">
        <v>433</v>
      </c>
      <c r="B8" s="8" t="s">
        <v>434</v>
      </c>
      <c r="C8" s="9" t="n">
        <f aca="false">COUNTIFS(Questions!$R$2:$R$1000,"*;"&amp;$A8&amp;";*",Questions!$B$2:$B$1000,2021,Questions!$C$2:$C$1000,"Feb/March",Questions!$D$2:$D$1000,"9708/22")</f>
        <v>0</v>
      </c>
      <c r="D8" s="9" t="n">
        <f aca="false">COUNTIFS(Questions!$R$2:$R$1000,"*;"&amp;$A8&amp;";*",Questions!$B$2:$B$1000,2021,Questions!$C$2:$C$1000,"May/June",Questions!$D$2:$D$1000,"9708/21")</f>
        <v>2</v>
      </c>
      <c r="E8" s="9" t="n">
        <f aca="false">COUNTIFS(Questions!$R$2:$R$1000,"*;"&amp;$A8&amp;";*",Questions!$B$2:$B$1000,2021,Questions!$C$2:$C$1000,"May/June",Questions!$D$2:$D$1000,"9708/22")</f>
        <v>0</v>
      </c>
      <c r="F8" s="9" t="n">
        <f aca="false">COUNTIFS(Questions!$R$2:$R$1000,"*;"&amp;$A8&amp;";*",Questions!$B$2:$B$1000,2021,Questions!$C$2:$C$1000,"May/June",Questions!$D$2:$D$1000,"9708/23")</f>
        <v>1</v>
      </c>
      <c r="G8" s="9" t="n">
        <f aca="false">COUNTIFS(Questions!$R$2:$R$1000,"*;"&amp;$A8&amp;";*",Questions!$B$2:$B$1000,2021,Questions!$C$2:$C$1000,"Oct/Nov",Questions!$D$2:$D$1000,"9708/21")</f>
        <v>1</v>
      </c>
      <c r="H8" s="9" t="n">
        <f aca="false">COUNTIFS(Questions!$R$2:$R$1000,"*;"&amp;$A8&amp;";*",Questions!$B$2:$B$1000,2021,Questions!$C$2:$C$1000,"Oct/Nov",Questions!$D$2:$D$1000,"9708/22")</f>
        <v>1</v>
      </c>
      <c r="I8" s="9" t="n">
        <f aca="false">COUNTIFS(Questions!$R$2:$R$1000,"*;"&amp;$A8&amp;";*",Questions!$B$2:$B$1000,2021,Questions!$C$2:$C$1000,"Oct/Nov",Questions!$D$2:$D$1000,"9708/23")</f>
        <v>2</v>
      </c>
      <c r="J8" s="9" t="n">
        <f aca="false">COUNTIFS(Questions!$R$2:$R$1000,"*;"&amp;$A8&amp;";*",Questions!$B$2:$B$1000,2022,Questions!$C$2:$C$1000,"Feb/March",Questions!$D$2:$D$1000,"9708/22")</f>
        <v>1</v>
      </c>
      <c r="K8" s="9" t="n">
        <f aca="false">COUNTIFS(Questions!$R$2:$R$1000,"*;"&amp;$A8&amp;";*",Questions!$B$2:$B$1000,2022,Questions!$C$2:$C$1000,"May/June",Questions!$D$2:$D$1000,"9708/21")</f>
        <v>1</v>
      </c>
      <c r="L8" s="9" t="n">
        <f aca="false">COUNTIFS(Questions!$R$2:$R$1000,"*;"&amp;$A8&amp;";*",Questions!$B$2:$B$1000,2022,Questions!$C$2:$C$1000,"May/June",Questions!$D$2:$D$1000,"9708/22")</f>
        <v>1</v>
      </c>
      <c r="M8" s="9" t="n">
        <f aca="false">COUNTIFS(Questions!$R$2:$R$1000,"*;"&amp;$A8&amp;";*",Questions!$B$2:$B$1000,2022,Questions!$C$2:$C$1000,"May/June",Questions!$D$2:$D$1000,"9708/23")</f>
        <v>2</v>
      </c>
      <c r="N8" s="9" t="n">
        <f aca="false">COUNTIFS(Questions!$R$2:$R$1000,"*;"&amp;$A8&amp;";*",Questions!$B$2:$B$1000,2022,Questions!$C$2:$C$1000,"Oct/Nov",Questions!$D$2:$D$1000,"9708/21")</f>
        <v>0</v>
      </c>
      <c r="O8" s="9" t="n">
        <f aca="false">COUNTIFS(Questions!$R$2:$R$1000,"*;"&amp;$A8&amp;";*",Questions!$B$2:$B$1000,2022,Questions!$C$2:$C$1000,"Oct/Nov",Questions!$D$2:$D$1000,"9708/22")</f>
        <v>0</v>
      </c>
      <c r="P8" s="9" t="n">
        <f aca="false">COUNTIFS(Questions!$R$2:$R$1000,"*;"&amp;$A8&amp;";*",Questions!$B$2:$B$1000,2022,Questions!$C$2:$C$1000,"Oct/Nov",Questions!$D$2:$D$1000,"9708/23")</f>
        <v>0</v>
      </c>
      <c r="Q8" s="9" t="n">
        <f aca="false">COUNTIFS(Questions!$R$2:$R$1000,"*;"&amp;$A8&amp;";*",Questions!$B$2:$B$1000,2023,Questions!$C$2:$C$1000,"Feb/March",Questions!$D$2:$D$1000,"9708/22")</f>
        <v>2</v>
      </c>
      <c r="R8" s="9" t="n">
        <f aca="false">COUNTIFS(Questions!$R$2:$R$1000,"*;"&amp;$A8&amp;";*",Questions!$B$2:$B$1000,2023,Questions!$C$2:$C$1000,"May/June",Questions!$D$2:$D$1000,"9708/21")</f>
        <v>0</v>
      </c>
      <c r="S8" s="9" t="n">
        <f aca="false">COUNTIFS(Questions!$R$2:$R$1000,"*;"&amp;$A8&amp;";*",Questions!$B$2:$B$1000,2023,Questions!$C$2:$C$1000,"May/June",Questions!$D$2:$D$1000,"9708/22")</f>
        <v>0</v>
      </c>
      <c r="T8" s="9" t="n">
        <f aca="false">COUNTIFS(Questions!$R$2:$R$1000,"*;"&amp;$A8&amp;";*",Questions!$B$2:$B$1000,2023,Questions!$C$2:$C$1000,"May/June",Questions!$D$2:$D$1000,"9708/23")</f>
        <v>0</v>
      </c>
      <c r="U8" s="9" t="n">
        <f aca="false">COUNTIFS(Questions!$R$2:$R$1000,"*;"&amp;$A8&amp;";*",Questions!$B$2:$B$1000,2023,Questions!$C$2:$C$1000,"Oct/Nov",Questions!$D$2:$D$1000,"9708/21")</f>
        <v>0</v>
      </c>
      <c r="V8" s="9" t="n">
        <f aca="false">COUNTIFS(Questions!$R$2:$R$1000,"*;"&amp;$A8&amp;";*",Questions!$B$2:$B$1000,2023,Questions!$C$2:$C$1000,"Oct/Nov",Questions!$D$2:$D$1000,"9708/22")</f>
        <v>2</v>
      </c>
      <c r="W8" s="9" t="n">
        <f aca="false">COUNTIFS(Questions!$R$2:$R$1000,"*;"&amp;$A8&amp;";*",Questions!$B$2:$B$1000,2023,Questions!$C$2:$C$1000,"Oct/Nov",Questions!$D$2:$D$1000,"9708/23")</f>
        <v>1</v>
      </c>
      <c r="X8" s="9" t="n">
        <f aca="false">COUNTIFS(Questions!$R$2:$R$1000,"*;"&amp;$A8&amp;";*",Questions!$B$2:$B$1000,2024,Questions!$C$2:$C$1000,"Feb/March",Questions!$D$2:$D$1000,"9708/22")</f>
        <v>0</v>
      </c>
      <c r="Y8" s="9" t="n">
        <f aca="false">COUNTIFS(Questions!$R$2:$R$1000,"*;"&amp;$A8&amp;";*",Questions!$B$2:$B$1000,2024,Questions!$C$2:$C$1000,"May/June",Questions!$D$2:$D$1000,"9708/21")</f>
        <v>1</v>
      </c>
      <c r="Z8" s="9" t="n">
        <f aca="false">COUNTIFS(Questions!$R$2:$R$1000,"*;"&amp;$A8&amp;";*",Questions!$B$2:$B$1000,2024,Questions!$C$2:$C$1000,"May/June",Questions!$D$2:$D$1000,"9708/22")</f>
        <v>0</v>
      </c>
      <c r="AA8" s="9" t="n">
        <f aca="false">COUNTIFS(Questions!$R$2:$R$1000,"*;"&amp;$A8&amp;";*",Questions!$B$2:$B$1000,2024,Questions!$C$2:$C$1000,"May/June",Questions!$D$2:$D$1000,"9708/23")</f>
        <v>1</v>
      </c>
      <c r="AB8" s="9" t="n">
        <f aca="false">COUNTIFS(Questions!$R$2:$R$1000,"*;"&amp;$A8&amp;";*",Questions!$B$2:$B$1000,2024,Questions!$C$2:$C$1000,"Oct/Nov",Questions!$D$2:$D$1000,"9708/21")</f>
        <v>1</v>
      </c>
      <c r="AC8" s="9" t="n">
        <f aca="false">COUNTIFS(Questions!$R$2:$R$1000,"*;"&amp;$A8&amp;";*",Questions!$B$2:$B$1000,2024,Questions!$C$2:$C$1000,"Oct/Nov",Questions!$D$2:$D$1000,"9708/22")</f>
        <v>1</v>
      </c>
      <c r="AD8" s="9" t="n">
        <f aca="false">COUNTIFS(Questions!$R$2:$R$1000,"*;"&amp;$A8&amp;";*",Questions!$B$2:$B$1000,2024,Questions!$C$2:$C$1000,"Oct/Nov",Questions!$D$2:$D$1000,"9708/23")</f>
        <v>0</v>
      </c>
      <c r="AE8" s="9" t="n">
        <f aca="false">COUNTIFS(Questions!$R$2:$R$1000,"*;"&amp;$A8&amp;";*",Questions!$B$2:$B$1000,2025,Questions!$C$2:$C$1000,"May/June",Questions!$D$2:$D$1000,"9708/21")</f>
        <v>0</v>
      </c>
      <c r="AF8" s="9" t="n">
        <f aca="false">COUNTIFS(Questions!$R$2:$R$1000,"*;"&amp;$A8&amp;";*",Questions!$B$2:$B$1000,2025,Questions!$C$2:$C$1000,"May/June",Questions!$D$2:$D$1000,"9708/22")</f>
        <v>1</v>
      </c>
      <c r="AG8" s="9" t="n">
        <f aca="false">COUNTIFS(Questions!$R$2:$R$1000,"*;"&amp;$A8&amp;";*",Questions!$B$2:$B$1000,2025,Questions!$C$2:$C$1000,"May/June",Questions!$D$2:$D$1000,"9708/23")</f>
        <v>1</v>
      </c>
      <c r="AH8" s="9" t="n">
        <f aca="false">COUNTIFS(Questions!$R$2:$R$1000,"*;"&amp;$A8&amp;";*",Questions!$B$2:$B$1000,2025,Questions!$C$2:$C$1000,"May/June",Questions!$D$2:$D$1000,"9708/24")</f>
        <v>0</v>
      </c>
      <c r="AI8" s="9" t="n">
        <f aca="false">COUNTIFS(Questions!$R$2:$R$1000,"*;"&amp;$A8&amp;";*",Questions!$B$2:$B$1000,2025,Questions!$C$2:$C$1000,"Oct/Nov",Questions!$D$2:$D$1000,"9708/21")</f>
        <v>2</v>
      </c>
      <c r="AJ8" s="9" t="n">
        <f aca="false">COUNTIFS(Questions!$R$2:$R$1000,"*;"&amp;$A8&amp;";*",Questions!$B$2:$B$1000,2025,Questions!$C$2:$C$1000,"Oct/Nov",Questions!$D$2:$D$1000,"9708/22")</f>
        <v>0</v>
      </c>
      <c r="AK8" s="9" t="n">
        <f aca="false">COUNTIFS(Questions!$R$2:$R$1000,"*;"&amp;$A8&amp;";*",Questions!$B$2:$B$1000,2025,Questions!$C$2:$C$1000,"Oct/Nov",Questions!$D$2:$D$1000,"9708/23")</f>
        <v>0</v>
      </c>
      <c r="AL8" s="9" t="n">
        <f aca="false">COUNTIFS(Questions!$R$2:$R$1000,"*;"&amp;$A8&amp;";*",Questions!$B$2:$B$1000,2025,Questions!$C$2:$C$1000,"Oct/Nov",Questions!$D$2:$D$1000,"9708/24")</f>
        <v>0</v>
      </c>
      <c r="AM8" s="9" t="n">
        <f aca="false">COUNTIFS(Questions!$R$2:$R$1000,"*;"&amp;$A8&amp;";*",Questions!$B$2:$B$1000,2026,Questions!$C$2:$C$1000,"May/June",Questions!$D$2:$D$1000,"9708/21")</f>
        <v>0</v>
      </c>
      <c r="AN8" s="9" t="n">
        <f aca="false">COUNTIFS(Questions!$R$2:$R$1000,"*;"&amp;$A8&amp;";*",Questions!$B$2:$B$1000,2026,Questions!$C$2:$C$1000,"May/June",Questions!$D$2:$D$1000,"9708/22")</f>
        <v>1</v>
      </c>
      <c r="AO8" s="9" t="n">
        <f aca="false">COUNTIFS(Questions!$R$2:$R$1000,"*;"&amp;$A8&amp;";*",Questions!$B$2:$B$1000,2026,Questions!$C$2:$C$1000,"May/June",Questions!$D$2:$D$1000,"9708/23")</f>
        <v>0</v>
      </c>
      <c r="AP8" s="9" t="n">
        <f aca="false">COUNTIFS(Questions!$R$2:$R$1000,"*;"&amp;$A8&amp;";*",Questions!$B$2:$B$1000,2026,Questions!$C$2:$C$1000,"May/June",Questions!$D$2:$D$1000,"9708/24")</f>
        <v>1</v>
      </c>
      <c r="AQ8" s="9" t="n">
        <f aca="false">SUM(C8:AP8)</f>
        <v>27</v>
      </c>
      <c r="AR8" s="9" t="n">
        <f aca="false">COUNTIF(Questions!$P$2:$P$1000,$A8)</f>
        <v>10</v>
      </c>
      <c r="AS8" s="9" t="n">
        <f aca="false">SUMIF(Questions!$P$2:$P$1000,$A8,Questions!$I$2:$I$1000)</f>
        <v>110</v>
      </c>
    </row>
    <row r="9" customFormat="false" ht="15" hidden="false" customHeight="false" outlineLevel="0" collapsed="false">
      <c r="A9" s="8" t="s">
        <v>106</v>
      </c>
      <c r="B9" s="8" t="s">
        <v>107</v>
      </c>
      <c r="C9" s="9" t="n">
        <f aca="false">COUNTIFS(Questions!$R$2:$R$1000,"*;"&amp;$A9&amp;";*",Questions!$B$2:$B$1000,2021,Questions!$C$2:$C$1000,"Feb/March",Questions!$D$2:$D$1000,"9708/22")</f>
        <v>1</v>
      </c>
      <c r="D9" s="9" t="n">
        <f aca="false">COUNTIFS(Questions!$R$2:$R$1000,"*;"&amp;$A9&amp;";*",Questions!$B$2:$B$1000,2021,Questions!$C$2:$C$1000,"May/June",Questions!$D$2:$D$1000,"9708/21")</f>
        <v>0</v>
      </c>
      <c r="E9" s="9" t="n">
        <f aca="false">COUNTIFS(Questions!$R$2:$R$1000,"*;"&amp;$A9&amp;";*",Questions!$B$2:$B$1000,2021,Questions!$C$2:$C$1000,"May/June",Questions!$D$2:$D$1000,"9708/22")</f>
        <v>0</v>
      </c>
      <c r="F9" s="9" t="n">
        <f aca="false">COUNTIFS(Questions!$R$2:$R$1000,"*;"&amp;$A9&amp;";*",Questions!$B$2:$B$1000,2021,Questions!$C$2:$C$1000,"May/June",Questions!$D$2:$D$1000,"9708/23")</f>
        <v>0</v>
      </c>
      <c r="G9" s="9" t="n">
        <f aca="false">COUNTIFS(Questions!$R$2:$R$1000,"*;"&amp;$A9&amp;";*",Questions!$B$2:$B$1000,2021,Questions!$C$2:$C$1000,"Oct/Nov",Questions!$D$2:$D$1000,"9708/21")</f>
        <v>1</v>
      </c>
      <c r="H9" s="9" t="n">
        <f aca="false">COUNTIFS(Questions!$R$2:$R$1000,"*;"&amp;$A9&amp;";*",Questions!$B$2:$B$1000,2021,Questions!$C$2:$C$1000,"Oct/Nov",Questions!$D$2:$D$1000,"9708/22")</f>
        <v>1</v>
      </c>
      <c r="I9" s="9" t="n">
        <f aca="false">COUNTIFS(Questions!$R$2:$R$1000,"*;"&amp;$A9&amp;";*",Questions!$B$2:$B$1000,2021,Questions!$C$2:$C$1000,"Oct/Nov",Questions!$D$2:$D$1000,"9708/23")</f>
        <v>0</v>
      </c>
      <c r="J9" s="9" t="n">
        <f aca="false">COUNTIFS(Questions!$R$2:$R$1000,"*;"&amp;$A9&amp;";*",Questions!$B$2:$B$1000,2022,Questions!$C$2:$C$1000,"Feb/March",Questions!$D$2:$D$1000,"9708/22")</f>
        <v>1</v>
      </c>
      <c r="K9" s="9" t="n">
        <f aca="false">COUNTIFS(Questions!$R$2:$R$1000,"*;"&amp;$A9&amp;";*",Questions!$B$2:$B$1000,2022,Questions!$C$2:$C$1000,"May/June",Questions!$D$2:$D$1000,"9708/21")</f>
        <v>0</v>
      </c>
      <c r="L9" s="9" t="n">
        <f aca="false">COUNTIFS(Questions!$R$2:$R$1000,"*;"&amp;$A9&amp;";*",Questions!$B$2:$B$1000,2022,Questions!$C$2:$C$1000,"May/June",Questions!$D$2:$D$1000,"9708/22")</f>
        <v>1</v>
      </c>
      <c r="M9" s="9" t="n">
        <f aca="false">COUNTIFS(Questions!$R$2:$R$1000,"*;"&amp;$A9&amp;";*",Questions!$B$2:$B$1000,2022,Questions!$C$2:$C$1000,"May/June",Questions!$D$2:$D$1000,"9708/23")</f>
        <v>1</v>
      </c>
      <c r="N9" s="9" t="n">
        <f aca="false">COUNTIFS(Questions!$R$2:$R$1000,"*;"&amp;$A9&amp;";*",Questions!$B$2:$B$1000,2022,Questions!$C$2:$C$1000,"Oct/Nov",Questions!$D$2:$D$1000,"9708/21")</f>
        <v>1</v>
      </c>
      <c r="O9" s="9" t="n">
        <f aca="false">COUNTIFS(Questions!$R$2:$R$1000,"*;"&amp;$A9&amp;";*",Questions!$B$2:$B$1000,2022,Questions!$C$2:$C$1000,"Oct/Nov",Questions!$D$2:$D$1000,"9708/22")</f>
        <v>1</v>
      </c>
      <c r="P9" s="9" t="n">
        <f aca="false">COUNTIFS(Questions!$R$2:$R$1000,"*;"&amp;$A9&amp;";*",Questions!$B$2:$B$1000,2022,Questions!$C$2:$C$1000,"Oct/Nov",Questions!$D$2:$D$1000,"9708/23")</f>
        <v>0</v>
      </c>
      <c r="Q9" s="9" t="n">
        <f aca="false">COUNTIFS(Questions!$R$2:$R$1000,"*;"&amp;$A9&amp;";*",Questions!$B$2:$B$1000,2023,Questions!$C$2:$C$1000,"Feb/March",Questions!$D$2:$D$1000,"9708/22")</f>
        <v>0</v>
      </c>
      <c r="R9" s="9" t="n">
        <f aca="false">COUNTIFS(Questions!$R$2:$R$1000,"*;"&amp;$A9&amp;";*",Questions!$B$2:$B$1000,2023,Questions!$C$2:$C$1000,"May/June",Questions!$D$2:$D$1000,"9708/21")</f>
        <v>1</v>
      </c>
      <c r="S9" s="9" t="n">
        <f aca="false">COUNTIFS(Questions!$R$2:$R$1000,"*;"&amp;$A9&amp;";*",Questions!$B$2:$B$1000,2023,Questions!$C$2:$C$1000,"May/June",Questions!$D$2:$D$1000,"9708/22")</f>
        <v>1</v>
      </c>
      <c r="T9" s="9" t="n">
        <f aca="false">COUNTIFS(Questions!$R$2:$R$1000,"*;"&amp;$A9&amp;";*",Questions!$B$2:$B$1000,2023,Questions!$C$2:$C$1000,"May/June",Questions!$D$2:$D$1000,"9708/23")</f>
        <v>0</v>
      </c>
      <c r="U9" s="9" t="n">
        <f aca="false">COUNTIFS(Questions!$R$2:$R$1000,"*;"&amp;$A9&amp;";*",Questions!$B$2:$B$1000,2023,Questions!$C$2:$C$1000,"Oct/Nov",Questions!$D$2:$D$1000,"9708/21")</f>
        <v>0</v>
      </c>
      <c r="V9" s="9" t="n">
        <f aca="false">COUNTIFS(Questions!$R$2:$R$1000,"*;"&amp;$A9&amp;";*",Questions!$B$2:$B$1000,2023,Questions!$C$2:$C$1000,"Oct/Nov",Questions!$D$2:$D$1000,"9708/22")</f>
        <v>0</v>
      </c>
      <c r="W9" s="9" t="n">
        <f aca="false">COUNTIFS(Questions!$R$2:$R$1000,"*;"&amp;$A9&amp;";*",Questions!$B$2:$B$1000,2023,Questions!$C$2:$C$1000,"Oct/Nov",Questions!$D$2:$D$1000,"9708/23")</f>
        <v>0</v>
      </c>
      <c r="X9" s="9" t="n">
        <f aca="false">COUNTIFS(Questions!$R$2:$R$1000,"*;"&amp;$A9&amp;";*",Questions!$B$2:$B$1000,2024,Questions!$C$2:$C$1000,"Feb/March",Questions!$D$2:$D$1000,"9708/22")</f>
        <v>1</v>
      </c>
      <c r="Y9" s="9" t="n">
        <f aca="false">COUNTIFS(Questions!$R$2:$R$1000,"*;"&amp;$A9&amp;";*",Questions!$B$2:$B$1000,2024,Questions!$C$2:$C$1000,"May/June",Questions!$D$2:$D$1000,"9708/21")</f>
        <v>0</v>
      </c>
      <c r="Z9" s="9" t="n">
        <f aca="false">COUNTIFS(Questions!$R$2:$R$1000,"*;"&amp;$A9&amp;";*",Questions!$B$2:$B$1000,2024,Questions!$C$2:$C$1000,"May/June",Questions!$D$2:$D$1000,"9708/22")</f>
        <v>0</v>
      </c>
      <c r="AA9" s="9" t="n">
        <f aca="false">COUNTIFS(Questions!$R$2:$R$1000,"*;"&amp;$A9&amp;";*",Questions!$B$2:$B$1000,2024,Questions!$C$2:$C$1000,"May/June",Questions!$D$2:$D$1000,"9708/23")</f>
        <v>2</v>
      </c>
      <c r="AB9" s="9" t="n">
        <f aca="false">COUNTIFS(Questions!$R$2:$R$1000,"*;"&amp;$A9&amp;";*",Questions!$B$2:$B$1000,2024,Questions!$C$2:$C$1000,"Oct/Nov",Questions!$D$2:$D$1000,"9708/21")</f>
        <v>1</v>
      </c>
      <c r="AC9" s="9" t="n">
        <f aca="false">COUNTIFS(Questions!$R$2:$R$1000,"*;"&amp;$A9&amp;";*",Questions!$B$2:$B$1000,2024,Questions!$C$2:$C$1000,"Oct/Nov",Questions!$D$2:$D$1000,"9708/22")</f>
        <v>1</v>
      </c>
      <c r="AD9" s="9" t="n">
        <f aca="false">COUNTIFS(Questions!$R$2:$R$1000,"*;"&amp;$A9&amp;";*",Questions!$B$2:$B$1000,2024,Questions!$C$2:$C$1000,"Oct/Nov",Questions!$D$2:$D$1000,"9708/23")</f>
        <v>0</v>
      </c>
      <c r="AE9" s="9" t="n">
        <f aca="false">COUNTIFS(Questions!$R$2:$R$1000,"*;"&amp;$A9&amp;";*",Questions!$B$2:$B$1000,2025,Questions!$C$2:$C$1000,"May/June",Questions!$D$2:$D$1000,"9708/21")</f>
        <v>2</v>
      </c>
      <c r="AF9" s="9" t="n">
        <f aca="false">COUNTIFS(Questions!$R$2:$R$1000,"*;"&amp;$A9&amp;";*",Questions!$B$2:$B$1000,2025,Questions!$C$2:$C$1000,"May/June",Questions!$D$2:$D$1000,"9708/22")</f>
        <v>0</v>
      </c>
      <c r="AG9" s="9" t="n">
        <f aca="false">COUNTIFS(Questions!$R$2:$R$1000,"*;"&amp;$A9&amp;";*",Questions!$B$2:$B$1000,2025,Questions!$C$2:$C$1000,"May/June",Questions!$D$2:$D$1000,"9708/23")</f>
        <v>1</v>
      </c>
      <c r="AH9" s="9" t="n">
        <f aca="false">COUNTIFS(Questions!$R$2:$R$1000,"*;"&amp;$A9&amp;";*",Questions!$B$2:$B$1000,2025,Questions!$C$2:$C$1000,"May/June",Questions!$D$2:$D$1000,"9708/24")</f>
        <v>0</v>
      </c>
      <c r="AI9" s="9" t="n">
        <f aca="false">COUNTIFS(Questions!$R$2:$R$1000,"*;"&amp;$A9&amp;";*",Questions!$B$2:$B$1000,2025,Questions!$C$2:$C$1000,"Oct/Nov",Questions!$D$2:$D$1000,"9708/21")</f>
        <v>0</v>
      </c>
      <c r="AJ9" s="9" t="n">
        <f aca="false">COUNTIFS(Questions!$R$2:$R$1000,"*;"&amp;$A9&amp;";*",Questions!$B$2:$B$1000,2025,Questions!$C$2:$C$1000,"Oct/Nov",Questions!$D$2:$D$1000,"9708/22")</f>
        <v>2</v>
      </c>
      <c r="AK9" s="9" t="n">
        <f aca="false">COUNTIFS(Questions!$R$2:$R$1000,"*;"&amp;$A9&amp;";*",Questions!$B$2:$B$1000,2025,Questions!$C$2:$C$1000,"Oct/Nov",Questions!$D$2:$D$1000,"9708/23")</f>
        <v>1</v>
      </c>
      <c r="AL9" s="9" t="n">
        <f aca="false">COUNTIFS(Questions!$R$2:$R$1000,"*;"&amp;$A9&amp;";*",Questions!$B$2:$B$1000,2025,Questions!$C$2:$C$1000,"Oct/Nov",Questions!$D$2:$D$1000,"9708/24")</f>
        <v>0</v>
      </c>
      <c r="AM9" s="9" t="n">
        <f aca="false">COUNTIFS(Questions!$R$2:$R$1000,"*;"&amp;$A9&amp;";*",Questions!$B$2:$B$1000,2026,Questions!$C$2:$C$1000,"May/June",Questions!$D$2:$D$1000,"9708/21")</f>
        <v>0</v>
      </c>
      <c r="AN9" s="9" t="n">
        <f aca="false">COUNTIFS(Questions!$R$2:$R$1000,"*;"&amp;$A9&amp;";*",Questions!$B$2:$B$1000,2026,Questions!$C$2:$C$1000,"May/June",Questions!$D$2:$D$1000,"9708/22")</f>
        <v>0</v>
      </c>
      <c r="AO9" s="9" t="n">
        <f aca="false">COUNTIFS(Questions!$R$2:$R$1000,"*;"&amp;$A9&amp;";*",Questions!$B$2:$B$1000,2026,Questions!$C$2:$C$1000,"May/June",Questions!$D$2:$D$1000,"9708/23")</f>
        <v>0</v>
      </c>
      <c r="AP9" s="9" t="n">
        <f aca="false">COUNTIFS(Questions!$R$2:$R$1000,"*;"&amp;$A9&amp;";*",Questions!$B$2:$B$1000,2026,Questions!$C$2:$C$1000,"May/June",Questions!$D$2:$D$1000,"9708/24")</f>
        <v>0</v>
      </c>
      <c r="AQ9" s="9" t="n">
        <f aca="false">SUM(C9:AP9)</f>
        <v>21</v>
      </c>
      <c r="AR9" s="9" t="n">
        <f aca="false">COUNTIF(Questions!$P$2:$P$1000,$A9)</f>
        <v>21</v>
      </c>
      <c r="AS9" s="9" t="n">
        <f aca="false">SUMIF(Questions!$P$2:$P$1000,$A9,Questions!$I$2:$I$1000)</f>
        <v>155</v>
      </c>
    </row>
    <row r="10" customFormat="false" ht="15" hidden="false" customHeight="false" outlineLevel="0" collapsed="false">
      <c r="A10" s="8" t="s">
        <v>209</v>
      </c>
      <c r="B10" s="8" t="s">
        <v>210</v>
      </c>
      <c r="C10" s="9" t="n">
        <f aca="false">COUNTIFS(Questions!$R$2:$R$1000,"*;"&amp;$A10&amp;";*",Questions!$B$2:$B$1000,2021,Questions!$C$2:$C$1000,"Feb/March",Questions!$D$2:$D$1000,"9708/22")</f>
        <v>0</v>
      </c>
      <c r="D10" s="9" t="n">
        <f aca="false">COUNTIFS(Questions!$R$2:$R$1000,"*;"&amp;$A10&amp;";*",Questions!$B$2:$B$1000,2021,Questions!$C$2:$C$1000,"May/June",Questions!$D$2:$D$1000,"9708/21")</f>
        <v>1</v>
      </c>
      <c r="E10" s="9" t="n">
        <f aca="false">COUNTIFS(Questions!$R$2:$R$1000,"*;"&amp;$A10&amp;";*",Questions!$B$2:$B$1000,2021,Questions!$C$2:$C$1000,"May/June",Questions!$D$2:$D$1000,"9708/22")</f>
        <v>2</v>
      </c>
      <c r="F10" s="9" t="n">
        <f aca="false">COUNTIFS(Questions!$R$2:$R$1000,"*;"&amp;$A10&amp;";*",Questions!$B$2:$B$1000,2021,Questions!$C$2:$C$1000,"May/June",Questions!$D$2:$D$1000,"9708/23")</f>
        <v>1</v>
      </c>
      <c r="G10" s="9" t="n">
        <f aca="false">COUNTIFS(Questions!$R$2:$R$1000,"*;"&amp;$A10&amp;";*",Questions!$B$2:$B$1000,2021,Questions!$C$2:$C$1000,"Oct/Nov",Questions!$D$2:$D$1000,"9708/21")</f>
        <v>0</v>
      </c>
      <c r="H10" s="9" t="n">
        <f aca="false">COUNTIFS(Questions!$R$2:$R$1000,"*;"&amp;$A10&amp;";*",Questions!$B$2:$B$1000,2021,Questions!$C$2:$C$1000,"Oct/Nov",Questions!$D$2:$D$1000,"9708/22")</f>
        <v>1</v>
      </c>
      <c r="I10" s="9" t="n">
        <f aca="false">COUNTIFS(Questions!$R$2:$R$1000,"*;"&amp;$A10&amp;";*",Questions!$B$2:$B$1000,2021,Questions!$C$2:$C$1000,"Oct/Nov",Questions!$D$2:$D$1000,"9708/23")</f>
        <v>1</v>
      </c>
      <c r="J10" s="9" t="n">
        <f aca="false">COUNTIFS(Questions!$R$2:$R$1000,"*;"&amp;$A10&amp;";*",Questions!$B$2:$B$1000,2022,Questions!$C$2:$C$1000,"Feb/March",Questions!$D$2:$D$1000,"9708/22")</f>
        <v>0</v>
      </c>
      <c r="K10" s="9" t="n">
        <f aca="false">COUNTIFS(Questions!$R$2:$R$1000,"*;"&amp;$A10&amp;";*",Questions!$B$2:$B$1000,2022,Questions!$C$2:$C$1000,"May/June",Questions!$D$2:$D$1000,"9708/21")</f>
        <v>1</v>
      </c>
      <c r="L10" s="9" t="n">
        <f aca="false">COUNTIFS(Questions!$R$2:$R$1000,"*;"&amp;$A10&amp;";*",Questions!$B$2:$B$1000,2022,Questions!$C$2:$C$1000,"May/June",Questions!$D$2:$D$1000,"9708/22")</f>
        <v>1</v>
      </c>
      <c r="M10" s="9" t="n">
        <f aca="false">COUNTIFS(Questions!$R$2:$R$1000,"*;"&amp;$A10&amp;";*",Questions!$B$2:$B$1000,2022,Questions!$C$2:$C$1000,"May/June",Questions!$D$2:$D$1000,"9708/23")</f>
        <v>2</v>
      </c>
      <c r="N10" s="9" t="n">
        <f aca="false">COUNTIFS(Questions!$R$2:$R$1000,"*;"&amp;$A10&amp;";*",Questions!$B$2:$B$1000,2022,Questions!$C$2:$C$1000,"Oct/Nov",Questions!$D$2:$D$1000,"9708/21")</f>
        <v>0</v>
      </c>
      <c r="O10" s="9" t="n">
        <f aca="false">COUNTIFS(Questions!$R$2:$R$1000,"*;"&amp;$A10&amp;";*",Questions!$B$2:$B$1000,2022,Questions!$C$2:$C$1000,"Oct/Nov",Questions!$D$2:$D$1000,"9708/22")</f>
        <v>0</v>
      </c>
      <c r="P10" s="9" t="n">
        <f aca="false">COUNTIFS(Questions!$R$2:$R$1000,"*;"&amp;$A10&amp;";*",Questions!$B$2:$B$1000,2022,Questions!$C$2:$C$1000,"Oct/Nov",Questions!$D$2:$D$1000,"9708/23")</f>
        <v>1</v>
      </c>
      <c r="Q10" s="9" t="n">
        <f aca="false">COUNTIFS(Questions!$R$2:$R$1000,"*;"&amp;$A10&amp;";*",Questions!$B$2:$B$1000,2023,Questions!$C$2:$C$1000,"Feb/March",Questions!$D$2:$D$1000,"9708/22")</f>
        <v>0</v>
      </c>
      <c r="R10" s="9" t="n">
        <f aca="false">COUNTIFS(Questions!$R$2:$R$1000,"*;"&amp;$A10&amp;";*",Questions!$B$2:$B$1000,2023,Questions!$C$2:$C$1000,"May/June",Questions!$D$2:$D$1000,"9708/21")</f>
        <v>1</v>
      </c>
      <c r="S10" s="9" t="n">
        <f aca="false">COUNTIFS(Questions!$R$2:$R$1000,"*;"&amp;$A10&amp;";*",Questions!$B$2:$B$1000,2023,Questions!$C$2:$C$1000,"May/June",Questions!$D$2:$D$1000,"9708/22")</f>
        <v>0</v>
      </c>
      <c r="T10" s="9" t="n">
        <f aca="false">COUNTIFS(Questions!$R$2:$R$1000,"*;"&amp;$A10&amp;";*",Questions!$B$2:$B$1000,2023,Questions!$C$2:$C$1000,"May/June",Questions!$D$2:$D$1000,"9708/23")</f>
        <v>2</v>
      </c>
      <c r="U10" s="9" t="n">
        <f aca="false">COUNTIFS(Questions!$R$2:$R$1000,"*;"&amp;$A10&amp;";*",Questions!$B$2:$B$1000,2023,Questions!$C$2:$C$1000,"Oct/Nov",Questions!$D$2:$D$1000,"9708/21")</f>
        <v>1</v>
      </c>
      <c r="V10" s="9" t="n">
        <f aca="false">COUNTIFS(Questions!$R$2:$R$1000,"*;"&amp;$A10&amp;";*",Questions!$B$2:$B$1000,2023,Questions!$C$2:$C$1000,"Oct/Nov",Questions!$D$2:$D$1000,"9708/22")</f>
        <v>2</v>
      </c>
      <c r="W10" s="9" t="n">
        <f aca="false">COUNTIFS(Questions!$R$2:$R$1000,"*;"&amp;$A10&amp;";*",Questions!$B$2:$B$1000,2023,Questions!$C$2:$C$1000,"Oct/Nov",Questions!$D$2:$D$1000,"9708/23")</f>
        <v>1</v>
      </c>
      <c r="X10" s="9" t="n">
        <f aca="false">COUNTIFS(Questions!$R$2:$R$1000,"*;"&amp;$A10&amp;";*",Questions!$B$2:$B$1000,2024,Questions!$C$2:$C$1000,"Feb/March",Questions!$D$2:$D$1000,"9708/22")</f>
        <v>1</v>
      </c>
      <c r="Y10" s="9" t="n">
        <f aca="false">COUNTIFS(Questions!$R$2:$R$1000,"*;"&amp;$A10&amp;";*",Questions!$B$2:$B$1000,2024,Questions!$C$2:$C$1000,"May/June",Questions!$D$2:$D$1000,"9708/21")</f>
        <v>1</v>
      </c>
      <c r="Z10" s="9" t="n">
        <f aca="false">COUNTIFS(Questions!$R$2:$R$1000,"*;"&amp;$A10&amp;";*",Questions!$B$2:$B$1000,2024,Questions!$C$2:$C$1000,"May/June",Questions!$D$2:$D$1000,"9708/22")</f>
        <v>2</v>
      </c>
      <c r="AA10" s="9" t="n">
        <f aca="false">COUNTIFS(Questions!$R$2:$R$1000,"*;"&amp;$A10&amp;";*",Questions!$B$2:$B$1000,2024,Questions!$C$2:$C$1000,"May/June",Questions!$D$2:$D$1000,"9708/23")</f>
        <v>0</v>
      </c>
      <c r="AB10" s="9" t="n">
        <f aca="false">COUNTIFS(Questions!$R$2:$R$1000,"*;"&amp;$A10&amp;";*",Questions!$B$2:$B$1000,2024,Questions!$C$2:$C$1000,"Oct/Nov",Questions!$D$2:$D$1000,"9708/21")</f>
        <v>0</v>
      </c>
      <c r="AC10" s="9" t="n">
        <f aca="false">COUNTIFS(Questions!$R$2:$R$1000,"*;"&amp;$A10&amp;";*",Questions!$B$2:$B$1000,2024,Questions!$C$2:$C$1000,"Oct/Nov",Questions!$D$2:$D$1000,"9708/22")</f>
        <v>0</v>
      </c>
      <c r="AD10" s="9" t="n">
        <f aca="false">COUNTIFS(Questions!$R$2:$R$1000,"*;"&amp;$A10&amp;";*",Questions!$B$2:$B$1000,2024,Questions!$C$2:$C$1000,"Oct/Nov",Questions!$D$2:$D$1000,"9708/23")</f>
        <v>2</v>
      </c>
      <c r="AE10" s="9" t="n">
        <f aca="false">COUNTIFS(Questions!$R$2:$R$1000,"*;"&amp;$A10&amp;";*",Questions!$B$2:$B$1000,2025,Questions!$C$2:$C$1000,"May/June",Questions!$D$2:$D$1000,"9708/21")</f>
        <v>1</v>
      </c>
      <c r="AF10" s="9" t="n">
        <f aca="false">COUNTIFS(Questions!$R$2:$R$1000,"*;"&amp;$A10&amp;";*",Questions!$B$2:$B$1000,2025,Questions!$C$2:$C$1000,"May/June",Questions!$D$2:$D$1000,"9708/22")</f>
        <v>2</v>
      </c>
      <c r="AG10" s="9" t="n">
        <f aca="false">COUNTIFS(Questions!$R$2:$R$1000,"*;"&amp;$A10&amp;";*",Questions!$B$2:$B$1000,2025,Questions!$C$2:$C$1000,"May/June",Questions!$D$2:$D$1000,"9708/23")</f>
        <v>2</v>
      </c>
      <c r="AH10" s="9" t="n">
        <f aca="false">COUNTIFS(Questions!$R$2:$R$1000,"*;"&amp;$A10&amp;";*",Questions!$B$2:$B$1000,2025,Questions!$C$2:$C$1000,"May/June",Questions!$D$2:$D$1000,"9708/24")</f>
        <v>1</v>
      </c>
      <c r="AI10" s="9" t="n">
        <f aca="false">COUNTIFS(Questions!$R$2:$R$1000,"*;"&amp;$A10&amp;";*",Questions!$B$2:$B$1000,2025,Questions!$C$2:$C$1000,"Oct/Nov",Questions!$D$2:$D$1000,"9708/21")</f>
        <v>2</v>
      </c>
      <c r="AJ10" s="9" t="n">
        <f aca="false">COUNTIFS(Questions!$R$2:$R$1000,"*;"&amp;$A10&amp;";*",Questions!$B$2:$B$1000,2025,Questions!$C$2:$C$1000,"Oct/Nov",Questions!$D$2:$D$1000,"9708/22")</f>
        <v>0</v>
      </c>
      <c r="AK10" s="9" t="n">
        <f aca="false">COUNTIFS(Questions!$R$2:$R$1000,"*;"&amp;$A10&amp;";*",Questions!$B$2:$B$1000,2025,Questions!$C$2:$C$1000,"Oct/Nov",Questions!$D$2:$D$1000,"9708/23")</f>
        <v>0</v>
      </c>
      <c r="AL10" s="9" t="n">
        <f aca="false">COUNTIFS(Questions!$R$2:$R$1000,"*;"&amp;$A10&amp;";*",Questions!$B$2:$B$1000,2025,Questions!$C$2:$C$1000,"Oct/Nov",Questions!$D$2:$D$1000,"9708/24")</f>
        <v>1</v>
      </c>
      <c r="AM10" s="9" t="n">
        <f aca="false">COUNTIFS(Questions!$R$2:$R$1000,"*;"&amp;$A10&amp;";*",Questions!$B$2:$B$1000,2026,Questions!$C$2:$C$1000,"May/June",Questions!$D$2:$D$1000,"9708/21")</f>
        <v>2</v>
      </c>
      <c r="AN10" s="9" t="n">
        <f aca="false">COUNTIFS(Questions!$R$2:$R$1000,"*;"&amp;$A10&amp;";*",Questions!$B$2:$B$1000,2026,Questions!$C$2:$C$1000,"May/June",Questions!$D$2:$D$1000,"9708/22")</f>
        <v>2</v>
      </c>
      <c r="AO10" s="9" t="n">
        <f aca="false">COUNTIFS(Questions!$R$2:$R$1000,"*;"&amp;$A10&amp;";*",Questions!$B$2:$B$1000,2026,Questions!$C$2:$C$1000,"May/June",Questions!$D$2:$D$1000,"9708/23")</f>
        <v>2</v>
      </c>
      <c r="AP10" s="9" t="n">
        <f aca="false">COUNTIFS(Questions!$R$2:$R$1000,"*;"&amp;$A10&amp;";*",Questions!$B$2:$B$1000,2026,Questions!$C$2:$C$1000,"May/June",Questions!$D$2:$D$1000,"9708/24")</f>
        <v>1</v>
      </c>
      <c r="AQ10" s="9" t="n">
        <f aca="false">SUM(C10:AP10)</f>
        <v>40</v>
      </c>
      <c r="AR10" s="9" t="n">
        <f aca="false">COUNTIF(Questions!$P$2:$P$1000,$A10)</f>
        <v>24</v>
      </c>
      <c r="AS10" s="9" t="n">
        <f aca="false">SUMIF(Questions!$P$2:$P$1000,$A10,Questions!$I$2:$I$1000)</f>
        <v>194</v>
      </c>
    </row>
    <row r="11" customFormat="false" ht="15" hidden="false" customHeight="false" outlineLevel="0" collapsed="false">
      <c r="A11" s="8" t="s">
        <v>185</v>
      </c>
      <c r="B11" s="8" t="s">
        <v>186</v>
      </c>
      <c r="C11" s="9" t="n">
        <f aca="false">COUNTIFS(Questions!$R$2:$R$1000,"*;"&amp;$A11&amp;";*",Questions!$B$2:$B$1000,2021,Questions!$C$2:$C$1000,"Feb/March",Questions!$D$2:$D$1000,"9708/22")</f>
        <v>1</v>
      </c>
      <c r="D11" s="9" t="n">
        <f aca="false">COUNTIFS(Questions!$R$2:$R$1000,"*;"&amp;$A11&amp;";*",Questions!$B$2:$B$1000,2021,Questions!$C$2:$C$1000,"May/June",Questions!$D$2:$D$1000,"9708/21")</f>
        <v>2</v>
      </c>
      <c r="E11" s="9" t="n">
        <f aca="false">COUNTIFS(Questions!$R$2:$R$1000,"*;"&amp;$A11&amp;";*",Questions!$B$2:$B$1000,2021,Questions!$C$2:$C$1000,"May/June",Questions!$D$2:$D$1000,"9708/22")</f>
        <v>0</v>
      </c>
      <c r="F11" s="9" t="n">
        <f aca="false">COUNTIFS(Questions!$R$2:$R$1000,"*;"&amp;$A11&amp;";*",Questions!$B$2:$B$1000,2021,Questions!$C$2:$C$1000,"May/June",Questions!$D$2:$D$1000,"9708/23")</f>
        <v>2</v>
      </c>
      <c r="G11" s="9" t="n">
        <f aca="false">COUNTIFS(Questions!$R$2:$R$1000,"*;"&amp;$A11&amp;";*",Questions!$B$2:$B$1000,2021,Questions!$C$2:$C$1000,"Oct/Nov",Questions!$D$2:$D$1000,"9708/21")</f>
        <v>0</v>
      </c>
      <c r="H11" s="9" t="n">
        <f aca="false">COUNTIFS(Questions!$R$2:$R$1000,"*;"&amp;$A11&amp;";*",Questions!$B$2:$B$1000,2021,Questions!$C$2:$C$1000,"Oct/Nov",Questions!$D$2:$D$1000,"9708/22")</f>
        <v>0</v>
      </c>
      <c r="I11" s="9" t="n">
        <f aca="false">COUNTIFS(Questions!$R$2:$R$1000,"*;"&amp;$A11&amp;";*",Questions!$B$2:$B$1000,2021,Questions!$C$2:$C$1000,"Oct/Nov",Questions!$D$2:$D$1000,"9708/23")</f>
        <v>0</v>
      </c>
      <c r="J11" s="9" t="n">
        <f aca="false">COUNTIFS(Questions!$R$2:$R$1000,"*;"&amp;$A11&amp;";*",Questions!$B$2:$B$1000,2022,Questions!$C$2:$C$1000,"Feb/March",Questions!$D$2:$D$1000,"9708/22")</f>
        <v>0</v>
      </c>
      <c r="K11" s="9" t="n">
        <f aca="false">COUNTIFS(Questions!$R$2:$R$1000,"*;"&amp;$A11&amp;";*",Questions!$B$2:$B$1000,2022,Questions!$C$2:$C$1000,"May/June",Questions!$D$2:$D$1000,"9708/21")</f>
        <v>0</v>
      </c>
      <c r="L11" s="9" t="n">
        <f aca="false">COUNTIFS(Questions!$R$2:$R$1000,"*;"&amp;$A11&amp;";*",Questions!$B$2:$B$1000,2022,Questions!$C$2:$C$1000,"May/June",Questions!$D$2:$D$1000,"9708/22")</f>
        <v>0</v>
      </c>
      <c r="M11" s="9" t="n">
        <f aca="false">COUNTIFS(Questions!$R$2:$R$1000,"*;"&amp;$A11&amp;";*",Questions!$B$2:$B$1000,2022,Questions!$C$2:$C$1000,"May/June",Questions!$D$2:$D$1000,"9708/23")</f>
        <v>2</v>
      </c>
      <c r="N11" s="9" t="n">
        <f aca="false">COUNTIFS(Questions!$R$2:$R$1000,"*;"&amp;$A11&amp;";*",Questions!$B$2:$B$1000,2022,Questions!$C$2:$C$1000,"Oct/Nov",Questions!$D$2:$D$1000,"9708/21")</f>
        <v>0</v>
      </c>
      <c r="O11" s="9" t="n">
        <f aca="false">COUNTIFS(Questions!$R$2:$R$1000,"*;"&amp;$A11&amp;";*",Questions!$B$2:$B$1000,2022,Questions!$C$2:$C$1000,"Oct/Nov",Questions!$D$2:$D$1000,"9708/22")</f>
        <v>3</v>
      </c>
      <c r="P11" s="9" t="n">
        <f aca="false">COUNTIFS(Questions!$R$2:$R$1000,"*;"&amp;$A11&amp;";*",Questions!$B$2:$B$1000,2022,Questions!$C$2:$C$1000,"Oct/Nov",Questions!$D$2:$D$1000,"9708/23")</f>
        <v>0</v>
      </c>
      <c r="Q11" s="9" t="n">
        <f aca="false">COUNTIFS(Questions!$R$2:$R$1000,"*;"&amp;$A11&amp;";*",Questions!$B$2:$B$1000,2023,Questions!$C$2:$C$1000,"Feb/March",Questions!$D$2:$D$1000,"9708/22")</f>
        <v>0</v>
      </c>
      <c r="R11" s="9" t="n">
        <f aca="false">COUNTIFS(Questions!$R$2:$R$1000,"*;"&amp;$A11&amp;";*",Questions!$B$2:$B$1000,2023,Questions!$C$2:$C$1000,"May/June",Questions!$D$2:$D$1000,"9708/21")</f>
        <v>0</v>
      </c>
      <c r="S11" s="9" t="n">
        <f aca="false">COUNTIFS(Questions!$R$2:$R$1000,"*;"&amp;$A11&amp;";*",Questions!$B$2:$B$1000,2023,Questions!$C$2:$C$1000,"May/June",Questions!$D$2:$D$1000,"9708/22")</f>
        <v>1</v>
      </c>
      <c r="T11" s="9" t="n">
        <f aca="false">COUNTIFS(Questions!$R$2:$R$1000,"*;"&amp;$A11&amp;";*",Questions!$B$2:$B$1000,2023,Questions!$C$2:$C$1000,"May/June",Questions!$D$2:$D$1000,"9708/23")</f>
        <v>3</v>
      </c>
      <c r="U11" s="9" t="n">
        <f aca="false">COUNTIFS(Questions!$R$2:$R$1000,"*;"&amp;$A11&amp;";*",Questions!$B$2:$B$1000,2023,Questions!$C$2:$C$1000,"Oct/Nov",Questions!$D$2:$D$1000,"9708/21")</f>
        <v>1</v>
      </c>
      <c r="V11" s="9" t="n">
        <f aca="false">COUNTIFS(Questions!$R$2:$R$1000,"*;"&amp;$A11&amp;";*",Questions!$B$2:$B$1000,2023,Questions!$C$2:$C$1000,"Oct/Nov",Questions!$D$2:$D$1000,"9708/22")</f>
        <v>3</v>
      </c>
      <c r="W11" s="9" t="n">
        <f aca="false">COUNTIFS(Questions!$R$2:$R$1000,"*;"&amp;$A11&amp;";*",Questions!$B$2:$B$1000,2023,Questions!$C$2:$C$1000,"Oct/Nov",Questions!$D$2:$D$1000,"9708/23")</f>
        <v>0</v>
      </c>
      <c r="X11" s="9" t="n">
        <f aca="false">COUNTIFS(Questions!$R$2:$R$1000,"*;"&amp;$A11&amp;";*",Questions!$B$2:$B$1000,2024,Questions!$C$2:$C$1000,"Feb/March",Questions!$D$2:$D$1000,"9708/22")</f>
        <v>1</v>
      </c>
      <c r="Y11" s="9" t="n">
        <f aca="false">COUNTIFS(Questions!$R$2:$R$1000,"*;"&amp;$A11&amp;";*",Questions!$B$2:$B$1000,2024,Questions!$C$2:$C$1000,"May/June",Questions!$D$2:$D$1000,"9708/21")</f>
        <v>0</v>
      </c>
      <c r="Z11" s="9" t="n">
        <f aca="false">COUNTIFS(Questions!$R$2:$R$1000,"*;"&amp;$A11&amp;";*",Questions!$B$2:$B$1000,2024,Questions!$C$2:$C$1000,"May/June",Questions!$D$2:$D$1000,"9708/22")</f>
        <v>0</v>
      </c>
      <c r="AA11" s="9" t="n">
        <f aca="false">COUNTIFS(Questions!$R$2:$R$1000,"*;"&amp;$A11&amp;";*",Questions!$B$2:$B$1000,2024,Questions!$C$2:$C$1000,"May/June",Questions!$D$2:$D$1000,"9708/23")</f>
        <v>1</v>
      </c>
      <c r="AB11" s="9" t="n">
        <f aca="false">COUNTIFS(Questions!$R$2:$R$1000,"*;"&amp;$A11&amp;";*",Questions!$B$2:$B$1000,2024,Questions!$C$2:$C$1000,"Oct/Nov",Questions!$D$2:$D$1000,"9708/21")</f>
        <v>1</v>
      </c>
      <c r="AC11" s="9" t="n">
        <f aca="false">COUNTIFS(Questions!$R$2:$R$1000,"*;"&amp;$A11&amp;";*",Questions!$B$2:$B$1000,2024,Questions!$C$2:$C$1000,"Oct/Nov",Questions!$D$2:$D$1000,"9708/22")</f>
        <v>1</v>
      </c>
      <c r="AD11" s="9" t="n">
        <f aca="false">COUNTIFS(Questions!$R$2:$R$1000,"*;"&amp;$A11&amp;";*",Questions!$B$2:$B$1000,2024,Questions!$C$2:$C$1000,"Oct/Nov",Questions!$D$2:$D$1000,"9708/23")</f>
        <v>1</v>
      </c>
      <c r="AE11" s="9" t="n">
        <f aca="false">COUNTIFS(Questions!$R$2:$R$1000,"*;"&amp;$A11&amp;";*",Questions!$B$2:$B$1000,2025,Questions!$C$2:$C$1000,"May/June",Questions!$D$2:$D$1000,"9708/21")</f>
        <v>0</v>
      </c>
      <c r="AF11" s="9" t="n">
        <f aca="false">COUNTIFS(Questions!$R$2:$R$1000,"*;"&amp;$A11&amp;";*",Questions!$B$2:$B$1000,2025,Questions!$C$2:$C$1000,"May/June",Questions!$D$2:$D$1000,"9708/22")</f>
        <v>1</v>
      </c>
      <c r="AG11" s="9" t="n">
        <f aca="false">COUNTIFS(Questions!$R$2:$R$1000,"*;"&amp;$A11&amp;";*",Questions!$B$2:$B$1000,2025,Questions!$C$2:$C$1000,"May/June",Questions!$D$2:$D$1000,"9708/23")</f>
        <v>1</v>
      </c>
      <c r="AH11" s="9" t="n">
        <f aca="false">COUNTIFS(Questions!$R$2:$R$1000,"*;"&amp;$A11&amp;";*",Questions!$B$2:$B$1000,2025,Questions!$C$2:$C$1000,"May/June",Questions!$D$2:$D$1000,"9708/24")</f>
        <v>0</v>
      </c>
      <c r="AI11" s="9" t="n">
        <f aca="false">COUNTIFS(Questions!$R$2:$R$1000,"*;"&amp;$A11&amp;";*",Questions!$B$2:$B$1000,2025,Questions!$C$2:$C$1000,"Oct/Nov",Questions!$D$2:$D$1000,"9708/21")</f>
        <v>0</v>
      </c>
      <c r="AJ11" s="9" t="n">
        <f aca="false">COUNTIFS(Questions!$R$2:$R$1000,"*;"&amp;$A11&amp;";*",Questions!$B$2:$B$1000,2025,Questions!$C$2:$C$1000,"Oct/Nov",Questions!$D$2:$D$1000,"9708/22")</f>
        <v>2</v>
      </c>
      <c r="AK11" s="9" t="n">
        <f aca="false">COUNTIFS(Questions!$R$2:$R$1000,"*;"&amp;$A11&amp;";*",Questions!$B$2:$B$1000,2025,Questions!$C$2:$C$1000,"Oct/Nov",Questions!$D$2:$D$1000,"9708/23")</f>
        <v>1</v>
      </c>
      <c r="AL11" s="9" t="n">
        <f aca="false">COUNTIFS(Questions!$R$2:$R$1000,"*;"&amp;$A11&amp;";*",Questions!$B$2:$B$1000,2025,Questions!$C$2:$C$1000,"Oct/Nov",Questions!$D$2:$D$1000,"9708/24")</f>
        <v>1</v>
      </c>
      <c r="AM11" s="9" t="n">
        <f aca="false">COUNTIFS(Questions!$R$2:$R$1000,"*;"&amp;$A11&amp;";*",Questions!$B$2:$B$1000,2026,Questions!$C$2:$C$1000,"May/June",Questions!$D$2:$D$1000,"9708/21")</f>
        <v>0</v>
      </c>
      <c r="AN11" s="9" t="n">
        <f aca="false">COUNTIFS(Questions!$R$2:$R$1000,"*;"&amp;$A11&amp;";*",Questions!$B$2:$B$1000,2026,Questions!$C$2:$C$1000,"May/June",Questions!$D$2:$D$1000,"9708/22")</f>
        <v>1</v>
      </c>
      <c r="AO11" s="9" t="n">
        <f aca="false">COUNTIFS(Questions!$R$2:$R$1000,"*;"&amp;$A11&amp;";*",Questions!$B$2:$B$1000,2026,Questions!$C$2:$C$1000,"May/June",Questions!$D$2:$D$1000,"9708/23")</f>
        <v>3</v>
      </c>
      <c r="AP11" s="9" t="n">
        <f aca="false">COUNTIFS(Questions!$R$2:$R$1000,"*;"&amp;$A11&amp;";*",Questions!$B$2:$B$1000,2026,Questions!$C$2:$C$1000,"May/June",Questions!$D$2:$D$1000,"9708/24")</f>
        <v>0</v>
      </c>
      <c r="AQ11" s="9" t="n">
        <f aca="false">SUM(C11:AP11)</f>
        <v>33</v>
      </c>
      <c r="AR11" s="9" t="n">
        <f aca="false">COUNTIF(Questions!$P$2:$P$1000,$A11)</f>
        <v>17</v>
      </c>
      <c r="AS11" s="9" t="n">
        <f aca="false">SUMIF(Questions!$P$2:$P$1000,$A11,Questions!$I$2:$I$1000)</f>
        <v>68</v>
      </c>
    </row>
    <row r="12" customFormat="false" ht="15" hidden="false" customHeight="false" outlineLevel="0" collapsed="false">
      <c r="A12" s="8" t="s">
        <v>124</v>
      </c>
      <c r="B12" s="8" t="s">
        <v>125</v>
      </c>
      <c r="C12" s="9" t="n">
        <f aca="false">COUNTIFS(Questions!$R$2:$R$1000,"*;"&amp;$A12&amp;";*",Questions!$B$2:$B$1000,2021,Questions!$C$2:$C$1000,"Feb/March",Questions!$D$2:$D$1000,"9708/22")</f>
        <v>1</v>
      </c>
      <c r="D12" s="9" t="n">
        <f aca="false">COUNTIFS(Questions!$R$2:$R$1000,"*;"&amp;$A12&amp;";*",Questions!$B$2:$B$1000,2021,Questions!$C$2:$C$1000,"May/June",Questions!$D$2:$D$1000,"9708/21")</f>
        <v>2</v>
      </c>
      <c r="E12" s="9" t="n">
        <f aca="false">COUNTIFS(Questions!$R$2:$R$1000,"*;"&amp;$A12&amp;";*",Questions!$B$2:$B$1000,2021,Questions!$C$2:$C$1000,"May/June",Questions!$D$2:$D$1000,"9708/22")</f>
        <v>3</v>
      </c>
      <c r="F12" s="9" t="n">
        <f aca="false">COUNTIFS(Questions!$R$2:$R$1000,"*;"&amp;$A12&amp;";*",Questions!$B$2:$B$1000,2021,Questions!$C$2:$C$1000,"May/June",Questions!$D$2:$D$1000,"9708/23")</f>
        <v>3</v>
      </c>
      <c r="G12" s="9" t="n">
        <f aca="false">COUNTIFS(Questions!$R$2:$R$1000,"*;"&amp;$A12&amp;";*",Questions!$B$2:$B$1000,2021,Questions!$C$2:$C$1000,"Oct/Nov",Questions!$D$2:$D$1000,"9708/21")</f>
        <v>1</v>
      </c>
      <c r="H12" s="9" t="n">
        <f aca="false">COUNTIFS(Questions!$R$2:$R$1000,"*;"&amp;$A12&amp;";*",Questions!$B$2:$B$1000,2021,Questions!$C$2:$C$1000,"Oct/Nov",Questions!$D$2:$D$1000,"9708/22")</f>
        <v>3</v>
      </c>
      <c r="I12" s="9" t="n">
        <f aca="false">COUNTIFS(Questions!$R$2:$R$1000,"*;"&amp;$A12&amp;";*",Questions!$B$2:$B$1000,2021,Questions!$C$2:$C$1000,"Oct/Nov",Questions!$D$2:$D$1000,"9708/23")</f>
        <v>5</v>
      </c>
      <c r="J12" s="9" t="n">
        <f aca="false">COUNTIFS(Questions!$R$2:$R$1000,"*;"&amp;$A12&amp;";*",Questions!$B$2:$B$1000,2022,Questions!$C$2:$C$1000,"Feb/March",Questions!$D$2:$D$1000,"9708/22")</f>
        <v>1</v>
      </c>
      <c r="K12" s="9" t="n">
        <f aca="false">COUNTIFS(Questions!$R$2:$R$1000,"*;"&amp;$A12&amp;";*",Questions!$B$2:$B$1000,2022,Questions!$C$2:$C$1000,"May/June",Questions!$D$2:$D$1000,"9708/21")</f>
        <v>1</v>
      </c>
      <c r="L12" s="9" t="n">
        <f aca="false">COUNTIFS(Questions!$R$2:$R$1000,"*;"&amp;$A12&amp;";*",Questions!$B$2:$B$1000,2022,Questions!$C$2:$C$1000,"May/June",Questions!$D$2:$D$1000,"9708/22")</f>
        <v>2</v>
      </c>
      <c r="M12" s="9" t="n">
        <f aca="false">COUNTIFS(Questions!$R$2:$R$1000,"*;"&amp;$A12&amp;";*",Questions!$B$2:$B$1000,2022,Questions!$C$2:$C$1000,"May/June",Questions!$D$2:$D$1000,"9708/23")</f>
        <v>0</v>
      </c>
      <c r="N12" s="9" t="n">
        <f aca="false">COUNTIFS(Questions!$R$2:$R$1000,"*;"&amp;$A12&amp;";*",Questions!$B$2:$B$1000,2022,Questions!$C$2:$C$1000,"Oct/Nov",Questions!$D$2:$D$1000,"9708/21")</f>
        <v>2</v>
      </c>
      <c r="O12" s="9" t="n">
        <f aca="false">COUNTIFS(Questions!$R$2:$R$1000,"*;"&amp;$A12&amp;";*",Questions!$B$2:$B$1000,2022,Questions!$C$2:$C$1000,"Oct/Nov",Questions!$D$2:$D$1000,"9708/22")</f>
        <v>1</v>
      </c>
      <c r="P12" s="9" t="n">
        <f aca="false">COUNTIFS(Questions!$R$2:$R$1000,"*;"&amp;$A12&amp;";*",Questions!$B$2:$B$1000,2022,Questions!$C$2:$C$1000,"Oct/Nov",Questions!$D$2:$D$1000,"9708/23")</f>
        <v>1</v>
      </c>
      <c r="Q12" s="9" t="n">
        <f aca="false">COUNTIFS(Questions!$R$2:$R$1000,"*;"&amp;$A12&amp;";*",Questions!$B$2:$B$1000,2023,Questions!$C$2:$C$1000,"Feb/March",Questions!$D$2:$D$1000,"9708/22")</f>
        <v>0</v>
      </c>
      <c r="R12" s="9" t="n">
        <f aca="false">COUNTIFS(Questions!$R$2:$R$1000,"*;"&amp;$A12&amp;";*",Questions!$B$2:$B$1000,2023,Questions!$C$2:$C$1000,"May/June",Questions!$D$2:$D$1000,"9708/21")</f>
        <v>1</v>
      </c>
      <c r="S12" s="9" t="n">
        <f aca="false">COUNTIFS(Questions!$R$2:$R$1000,"*;"&amp;$A12&amp;";*",Questions!$B$2:$B$1000,2023,Questions!$C$2:$C$1000,"May/June",Questions!$D$2:$D$1000,"9708/22")</f>
        <v>0</v>
      </c>
      <c r="T12" s="9" t="n">
        <f aca="false">COUNTIFS(Questions!$R$2:$R$1000,"*;"&amp;$A12&amp;";*",Questions!$B$2:$B$1000,2023,Questions!$C$2:$C$1000,"May/June",Questions!$D$2:$D$1000,"9708/23")</f>
        <v>3</v>
      </c>
      <c r="U12" s="9" t="n">
        <f aca="false">COUNTIFS(Questions!$R$2:$R$1000,"*;"&amp;$A12&amp;";*",Questions!$B$2:$B$1000,2023,Questions!$C$2:$C$1000,"Oct/Nov",Questions!$D$2:$D$1000,"9708/21")</f>
        <v>1</v>
      </c>
      <c r="V12" s="9" t="n">
        <f aca="false">COUNTIFS(Questions!$R$2:$R$1000,"*;"&amp;$A12&amp;";*",Questions!$B$2:$B$1000,2023,Questions!$C$2:$C$1000,"Oct/Nov",Questions!$D$2:$D$1000,"9708/22")</f>
        <v>2</v>
      </c>
      <c r="W12" s="9" t="n">
        <f aca="false">COUNTIFS(Questions!$R$2:$R$1000,"*;"&amp;$A12&amp;";*",Questions!$B$2:$B$1000,2023,Questions!$C$2:$C$1000,"Oct/Nov",Questions!$D$2:$D$1000,"9708/23")</f>
        <v>1</v>
      </c>
      <c r="X12" s="9" t="n">
        <f aca="false">COUNTIFS(Questions!$R$2:$R$1000,"*;"&amp;$A12&amp;";*",Questions!$B$2:$B$1000,2024,Questions!$C$2:$C$1000,"Feb/March",Questions!$D$2:$D$1000,"9708/22")</f>
        <v>3</v>
      </c>
      <c r="Y12" s="9" t="n">
        <f aca="false">COUNTIFS(Questions!$R$2:$R$1000,"*;"&amp;$A12&amp;";*",Questions!$B$2:$B$1000,2024,Questions!$C$2:$C$1000,"May/June",Questions!$D$2:$D$1000,"9708/21")</f>
        <v>2</v>
      </c>
      <c r="Z12" s="9" t="n">
        <f aca="false">COUNTIFS(Questions!$R$2:$R$1000,"*;"&amp;$A12&amp;";*",Questions!$B$2:$B$1000,2024,Questions!$C$2:$C$1000,"May/June",Questions!$D$2:$D$1000,"9708/22")</f>
        <v>1</v>
      </c>
      <c r="AA12" s="9" t="n">
        <f aca="false">COUNTIFS(Questions!$R$2:$R$1000,"*;"&amp;$A12&amp;";*",Questions!$B$2:$B$1000,2024,Questions!$C$2:$C$1000,"May/June",Questions!$D$2:$D$1000,"9708/23")</f>
        <v>1</v>
      </c>
      <c r="AB12" s="9" t="n">
        <f aca="false">COUNTIFS(Questions!$R$2:$R$1000,"*;"&amp;$A12&amp;";*",Questions!$B$2:$B$1000,2024,Questions!$C$2:$C$1000,"Oct/Nov",Questions!$D$2:$D$1000,"9708/21")</f>
        <v>0</v>
      </c>
      <c r="AC12" s="9" t="n">
        <f aca="false">COUNTIFS(Questions!$R$2:$R$1000,"*;"&amp;$A12&amp;";*",Questions!$B$2:$B$1000,2024,Questions!$C$2:$C$1000,"Oct/Nov",Questions!$D$2:$D$1000,"9708/22")</f>
        <v>1</v>
      </c>
      <c r="AD12" s="9" t="n">
        <f aca="false">COUNTIFS(Questions!$R$2:$R$1000,"*;"&amp;$A12&amp;";*",Questions!$B$2:$B$1000,2024,Questions!$C$2:$C$1000,"Oct/Nov",Questions!$D$2:$D$1000,"9708/23")</f>
        <v>1</v>
      </c>
      <c r="AE12" s="9" t="n">
        <f aca="false">COUNTIFS(Questions!$R$2:$R$1000,"*;"&amp;$A12&amp;";*",Questions!$B$2:$B$1000,2025,Questions!$C$2:$C$1000,"May/June",Questions!$D$2:$D$1000,"9708/21")</f>
        <v>1</v>
      </c>
      <c r="AF12" s="9" t="n">
        <f aca="false">COUNTIFS(Questions!$R$2:$R$1000,"*;"&amp;$A12&amp;";*",Questions!$B$2:$B$1000,2025,Questions!$C$2:$C$1000,"May/June",Questions!$D$2:$D$1000,"9708/22")</f>
        <v>1</v>
      </c>
      <c r="AG12" s="9" t="n">
        <f aca="false">COUNTIFS(Questions!$R$2:$R$1000,"*;"&amp;$A12&amp;";*",Questions!$B$2:$B$1000,2025,Questions!$C$2:$C$1000,"May/June",Questions!$D$2:$D$1000,"9708/23")</f>
        <v>1</v>
      </c>
      <c r="AH12" s="9" t="n">
        <f aca="false">COUNTIFS(Questions!$R$2:$R$1000,"*;"&amp;$A12&amp;";*",Questions!$B$2:$B$1000,2025,Questions!$C$2:$C$1000,"May/June",Questions!$D$2:$D$1000,"9708/24")</f>
        <v>1</v>
      </c>
      <c r="AI12" s="9" t="n">
        <f aca="false">COUNTIFS(Questions!$R$2:$R$1000,"*;"&amp;$A12&amp;";*",Questions!$B$2:$B$1000,2025,Questions!$C$2:$C$1000,"Oct/Nov",Questions!$D$2:$D$1000,"9708/21")</f>
        <v>2</v>
      </c>
      <c r="AJ12" s="9" t="n">
        <f aca="false">COUNTIFS(Questions!$R$2:$R$1000,"*;"&amp;$A12&amp;";*",Questions!$B$2:$B$1000,2025,Questions!$C$2:$C$1000,"Oct/Nov",Questions!$D$2:$D$1000,"9708/22")</f>
        <v>2</v>
      </c>
      <c r="AK12" s="9" t="n">
        <f aca="false">COUNTIFS(Questions!$R$2:$R$1000,"*;"&amp;$A12&amp;";*",Questions!$B$2:$B$1000,2025,Questions!$C$2:$C$1000,"Oct/Nov",Questions!$D$2:$D$1000,"9708/23")</f>
        <v>1</v>
      </c>
      <c r="AL12" s="9" t="n">
        <f aca="false">COUNTIFS(Questions!$R$2:$R$1000,"*;"&amp;$A12&amp;";*",Questions!$B$2:$B$1000,2025,Questions!$C$2:$C$1000,"Oct/Nov",Questions!$D$2:$D$1000,"9708/24")</f>
        <v>2</v>
      </c>
      <c r="AM12" s="9" t="n">
        <f aca="false">COUNTIFS(Questions!$R$2:$R$1000,"*;"&amp;$A12&amp;";*",Questions!$B$2:$B$1000,2026,Questions!$C$2:$C$1000,"May/June",Questions!$D$2:$D$1000,"9708/21")</f>
        <v>0</v>
      </c>
      <c r="AN12" s="9" t="n">
        <f aca="false">COUNTIFS(Questions!$R$2:$R$1000,"*;"&amp;$A12&amp;";*",Questions!$B$2:$B$1000,2026,Questions!$C$2:$C$1000,"May/June",Questions!$D$2:$D$1000,"9708/22")</f>
        <v>4</v>
      </c>
      <c r="AO12" s="9" t="n">
        <f aca="false">COUNTIFS(Questions!$R$2:$R$1000,"*;"&amp;$A12&amp;";*",Questions!$B$2:$B$1000,2026,Questions!$C$2:$C$1000,"May/June",Questions!$D$2:$D$1000,"9708/23")</f>
        <v>2</v>
      </c>
      <c r="AP12" s="9" t="n">
        <f aca="false">COUNTIFS(Questions!$R$2:$R$1000,"*;"&amp;$A12&amp;";*",Questions!$B$2:$B$1000,2026,Questions!$C$2:$C$1000,"May/June",Questions!$D$2:$D$1000,"9708/24")</f>
        <v>3</v>
      </c>
      <c r="AQ12" s="9" t="n">
        <f aca="false">SUM(C12:AP12)</f>
        <v>63</v>
      </c>
      <c r="AR12" s="9" t="n">
        <f aca="false">COUNTIF(Questions!$P$2:$P$1000,$A12)</f>
        <v>41</v>
      </c>
      <c r="AS12" s="9" t="n">
        <f aca="false">SUMIF(Questions!$P$2:$P$1000,$A12,Questions!$I$2:$I$1000)</f>
        <v>330</v>
      </c>
    </row>
    <row r="13" customFormat="false" ht="15" hidden="false" customHeight="false" outlineLevel="0" collapsed="false">
      <c r="A13" s="8" t="s">
        <v>694</v>
      </c>
      <c r="B13" s="8" t="s">
        <v>695</v>
      </c>
      <c r="C13" s="9" t="n">
        <f aca="false">COUNTIFS(Questions!$R$2:$R$1000,"*;"&amp;$A13&amp;";*",Questions!$B$2:$B$1000,2021,Questions!$C$2:$C$1000,"Feb/March",Questions!$D$2:$D$1000,"9708/22")</f>
        <v>0</v>
      </c>
      <c r="D13" s="9" t="n">
        <f aca="false">COUNTIFS(Questions!$R$2:$R$1000,"*;"&amp;$A13&amp;";*",Questions!$B$2:$B$1000,2021,Questions!$C$2:$C$1000,"May/June",Questions!$D$2:$D$1000,"9708/21")</f>
        <v>0</v>
      </c>
      <c r="E13" s="9" t="n">
        <f aca="false">COUNTIFS(Questions!$R$2:$R$1000,"*;"&amp;$A13&amp;";*",Questions!$B$2:$B$1000,2021,Questions!$C$2:$C$1000,"May/June",Questions!$D$2:$D$1000,"9708/22")</f>
        <v>0</v>
      </c>
      <c r="F13" s="9" t="n">
        <f aca="false">COUNTIFS(Questions!$R$2:$R$1000,"*;"&amp;$A13&amp;";*",Questions!$B$2:$B$1000,2021,Questions!$C$2:$C$1000,"May/June",Questions!$D$2:$D$1000,"9708/23")</f>
        <v>0</v>
      </c>
      <c r="G13" s="9" t="n">
        <f aca="false">COUNTIFS(Questions!$R$2:$R$1000,"*;"&amp;$A13&amp;";*",Questions!$B$2:$B$1000,2021,Questions!$C$2:$C$1000,"Oct/Nov",Questions!$D$2:$D$1000,"9708/21")</f>
        <v>1</v>
      </c>
      <c r="H13" s="9" t="n">
        <f aca="false">COUNTIFS(Questions!$R$2:$R$1000,"*;"&amp;$A13&amp;";*",Questions!$B$2:$B$1000,2021,Questions!$C$2:$C$1000,"Oct/Nov",Questions!$D$2:$D$1000,"9708/22")</f>
        <v>0</v>
      </c>
      <c r="I13" s="9" t="n">
        <f aca="false">COUNTIFS(Questions!$R$2:$R$1000,"*;"&amp;$A13&amp;";*",Questions!$B$2:$B$1000,2021,Questions!$C$2:$C$1000,"Oct/Nov",Questions!$D$2:$D$1000,"9708/23")</f>
        <v>0</v>
      </c>
      <c r="J13" s="9" t="n">
        <f aca="false">COUNTIFS(Questions!$R$2:$R$1000,"*;"&amp;$A13&amp;";*",Questions!$B$2:$B$1000,2022,Questions!$C$2:$C$1000,"Feb/March",Questions!$D$2:$D$1000,"9708/22")</f>
        <v>1</v>
      </c>
      <c r="K13" s="9" t="n">
        <f aca="false">COUNTIFS(Questions!$R$2:$R$1000,"*;"&amp;$A13&amp;";*",Questions!$B$2:$B$1000,2022,Questions!$C$2:$C$1000,"May/June",Questions!$D$2:$D$1000,"9708/21")</f>
        <v>2</v>
      </c>
      <c r="L13" s="9" t="n">
        <f aca="false">COUNTIFS(Questions!$R$2:$R$1000,"*;"&amp;$A13&amp;";*",Questions!$B$2:$B$1000,2022,Questions!$C$2:$C$1000,"May/June",Questions!$D$2:$D$1000,"9708/22")</f>
        <v>0</v>
      </c>
      <c r="M13" s="9" t="n">
        <f aca="false">COUNTIFS(Questions!$R$2:$R$1000,"*;"&amp;$A13&amp;";*",Questions!$B$2:$B$1000,2022,Questions!$C$2:$C$1000,"May/June",Questions!$D$2:$D$1000,"9708/23")</f>
        <v>1</v>
      </c>
      <c r="N13" s="9" t="n">
        <f aca="false">COUNTIFS(Questions!$R$2:$R$1000,"*;"&amp;$A13&amp;";*",Questions!$B$2:$B$1000,2022,Questions!$C$2:$C$1000,"Oct/Nov",Questions!$D$2:$D$1000,"9708/21")</f>
        <v>0</v>
      </c>
      <c r="O13" s="9" t="n">
        <f aca="false">COUNTIFS(Questions!$R$2:$R$1000,"*;"&amp;$A13&amp;";*",Questions!$B$2:$B$1000,2022,Questions!$C$2:$C$1000,"Oct/Nov",Questions!$D$2:$D$1000,"9708/22")</f>
        <v>1</v>
      </c>
      <c r="P13" s="9" t="n">
        <f aca="false">COUNTIFS(Questions!$R$2:$R$1000,"*;"&amp;$A13&amp;";*",Questions!$B$2:$B$1000,2022,Questions!$C$2:$C$1000,"Oct/Nov",Questions!$D$2:$D$1000,"9708/23")</f>
        <v>0</v>
      </c>
      <c r="Q13" s="9" t="n">
        <f aca="false">COUNTIFS(Questions!$R$2:$R$1000,"*;"&amp;$A13&amp;";*",Questions!$B$2:$B$1000,2023,Questions!$C$2:$C$1000,"Feb/March",Questions!$D$2:$D$1000,"9708/22")</f>
        <v>0</v>
      </c>
      <c r="R13" s="9" t="n">
        <f aca="false">COUNTIFS(Questions!$R$2:$R$1000,"*;"&amp;$A13&amp;";*",Questions!$B$2:$B$1000,2023,Questions!$C$2:$C$1000,"May/June",Questions!$D$2:$D$1000,"9708/21")</f>
        <v>0</v>
      </c>
      <c r="S13" s="9" t="n">
        <f aca="false">COUNTIFS(Questions!$R$2:$R$1000,"*;"&amp;$A13&amp;";*",Questions!$B$2:$B$1000,2023,Questions!$C$2:$C$1000,"May/June",Questions!$D$2:$D$1000,"9708/22")</f>
        <v>0</v>
      </c>
      <c r="T13" s="9" t="n">
        <f aca="false">COUNTIFS(Questions!$R$2:$R$1000,"*;"&amp;$A13&amp;";*",Questions!$B$2:$B$1000,2023,Questions!$C$2:$C$1000,"May/June",Questions!$D$2:$D$1000,"9708/23")</f>
        <v>0</v>
      </c>
      <c r="U13" s="9" t="n">
        <f aca="false">COUNTIFS(Questions!$R$2:$R$1000,"*;"&amp;$A13&amp;";*",Questions!$B$2:$B$1000,2023,Questions!$C$2:$C$1000,"Oct/Nov",Questions!$D$2:$D$1000,"9708/21")</f>
        <v>1</v>
      </c>
      <c r="V13" s="9" t="n">
        <f aca="false">COUNTIFS(Questions!$R$2:$R$1000,"*;"&amp;$A13&amp;";*",Questions!$B$2:$B$1000,2023,Questions!$C$2:$C$1000,"Oct/Nov",Questions!$D$2:$D$1000,"9708/22")</f>
        <v>1</v>
      </c>
      <c r="W13" s="9" t="n">
        <f aca="false">COUNTIFS(Questions!$R$2:$R$1000,"*;"&amp;$A13&amp;";*",Questions!$B$2:$B$1000,2023,Questions!$C$2:$C$1000,"Oct/Nov",Questions!$D$2:$D$1000,"9708/23")</f>
        <v>1</v>
      </c>
      <c r="X13" s="9" t="n">
        <f aca="false">COUNTIFS(Questions!$R$2:$R$1000,"*;"&amp;$A13&amp;";*",Questions!$B$2:$B$1000,2024,Questions!$C$2:$C$1000,"Feb/March",Questions!$D$2:$D$1000,"9708/22")</f>
        <v>1</v>
      </c>
      <c r="Y13" s="9" t="n">
        <f aca="false">COUNTIFS(Questions!$R$2:$R$1000,"*;"&amp;$A13&amp;";*",Questions!$B$2:$B$1000,2024,Questions!$C$2:$C$1000,"May/June",Questions!$D$2:$D$1000,"9708/21")</f>
        <v>1</v>
      </c>
      <c r="Z13" s="9" t="n">
        <f aca="false">COUNTIFS(Questions!$R$2:$R$1000,"*;"&amp;$A13&amp;";*",Questions!$B$2:$B$1000,2024,Questions!$C$2:$C$1000,"May/June",Questions!$D$2:$D$1000,"9708/22")</f>
        <v>0</v>
      </c>
      <c r="AA13" s="9" t="n">
        <f aca="false">COUNTIFS(Questions!$R$2:$R$1000,"*;"&amp;$A13&amp;";*",Questions!$B$2:$B$1000,2024,Questions!$C$2:$C$1000,"May/June",Questions!$D$2:$D$1000,"9708/23")</f>
        <v>0</v>
      </c>
      <c r="AB13" s="9" t="n">
        <f aca="false">COUNTIFS(Questions!$R$2:$R$1000,"*;"&amp;$A13&amp;";*",Questions!$B$2:$B$1000,2024,Questions!$C$2:$C$1000,"Oct/Nov",Questions!$D$2:$D$1000,"9708/21")</f>
        <v>1</v>
      </c>
      <c r="AC13" s="9" t="n">
        <f aca="false">COUNTIFS(Questions!$R$2:$R$1000,"*;"&amp;$A13&amp;";*",Questions!$B$2:$B$1000,2024,Questions!$C$2:$C$1000,"Oct/Nov",Questions!$D$2:$D$1000,"9708/22")</f>
        <v>0</v>
      </c>
      <c r="AD13" s="9" t="n">
        <f aca="false">COUNTIFS(Questions!$R$2:$R$1000,"*;"&amp;$A13&amp;";*",Questions!$B$2:$B$1000,2024,Questions!$C$2:$C$1000,"Oct/Nov",Questions!$D$2:$D$1000,"9708/23")</f>
        <v>1</v>
      </c>
      <c r="AE13" s="9" t="n">
        <f aca="false">COUNTIFS(Questions!$R$2:$R$1000,"*;"&amp;$A13&amp;";*",Questions!$B$2:$B$1000,2025,Questions!$C$2:$C$1000,"May/June",Questions!$D$2:$D$1000,"9708/21")</f>
        <v>0</v>
      </c>
      <c r="AF13" s="9" t="n">
        <f aca="false">COUNTIFS(Questions!$R$2:$R$1000,"*;"&amp;$A13&amp;";*",Questions!$B$2:$B$1000,2025,Questions!$C$2:$C$1000,"May/June",Questions!$D$2:$D$1000,"9708/22")</f>
        <v>1</v>
      </c>
      <c r="AG13" s="9" t="n">
        <f aca="false">COUNTIFS(Questions!$R$2:$R$1000,"*;"&amp;$A13&amp;";*",Questions!$B$2:$B$1000,2025,Questions!$C$2:$C$1000,"May/June",Questions!$D$2:$D$1000,"9708/23")</f>
        <v>3</v>
      </c>
      <c r="AH13" s="9" t="n">
        <f aca="false">COUNTIFS(Questions!$R$2:$R$1000,"*;"&amp;$A13&amp;";*",Questions!$B$2:$B$1000,2025,Questions!$C$2:$C$1000,"May/June",Questions!$D$2:$D$1000,"9708/24")</f>
        <v>0</v>
      </c>
      <c r="AI13" s="9" t="n">
        <f aca="false">COUNTIFS(Questions!$R$2:$R$1000,"*;"&amp;$A13&amp;";*",Questions!$B$2:$B$1000,2025,Questions!$C$2:$C$1000,"Oct/Nov",Questions!$D$2:$D$1000,"9708/21")</f>
        <v>0</v>
      </c>
      <c r="AJ13" s="9" t="n">
        <f aca="false">COUNTIFS(Questions!$R$2:$R$1000,"*;"&amp;$A13&amp;";*",Questions!$B$2:$B$1000,2025,Questions!$C$2:$C$1000,"Oct/Nov",Questions!$D$2:$D$1000,"9708/22")</f>
        <v>0</v>
      </c>
      <c r="AK13" s="9" t="n">
        <f aca="false">COUNTIFS(Questions!$R$2:$R$1000,"*;"&amp;$A13&amp;";*",Questions!$B$2:$B$1000,2025,Questions!$C$2:$C$1000,"Oct/Nov",Questions!$D$2:$D$1000,"9708/23")</f>
        <v>1</v>
      </c>
      <c r="AL13" s="9" t="n">
        <f aca="false">COUNTIFS(Questions!$R$2:$R$1000,"*;"&amp;$A13&amp;";*",Questions!$B$2:$B$1000,2025,Questions!$C$2:$C$1000,"Oct/Nov",Questions!$D$2:$D$1000,"9708/24")</f>
        <v>2</v>
      </c>
      <c r="AM13" s="9" t="n">
        <f aca="false">COUNTIFS(Questions!$R$2:$R$1000,"*;"&amp;$A13&amp;";*",Questions!$B$2:$B$1000,2026,Questions!$C$2:$C$1000,"May/June",Questions!$D$2:$D$1000,"9708/21")</f>
        <v>0</v>
      </c>
      <c r="AN13" s="9" t="n">
        <f aca="false">COUNTIFS(Questions!$R$2:$R$1000,"*;"&amp;$A13&amp;";*",Questions!$B$2:$B$1000,2026,Questions!$C$2:$C$1000,"May/June",Questions!$D$2:$D$1000,"9708/22")</f>
        <v>2</v>
      </c>
      <c r="AO13" s="9" t="n">
        <f aca="false">COUNTIFS(Questions!$R$2:$R$1000,"*;"&amp;$A13&amp;";*",Questions!$B$2:$B$1000,2026,Questions!$C$2:$C$1000,"May/June",Questions!$D$2:$D$1000,"9708/23")</f>
        <v>0</v>
      </c>
      <c r="AP13" s="9" t="n">
        <f aca="false">COUNTIFS(Questions!$R$2:$R$1000,"*;"&amp;$A13&amp;";*",Questions!$B$2:$B$1000,2026,Questions!$C$2:$C$1000,"May/June",Questions!$D$2:$D$1000,"9708/24")</f>
        <v>0</v>
      </c>
      <c r="AQ13" s="9" t="n">
        <f aca="false">SUM(C13:AP13)</f>
        <v>22</v>
      </c>
      <c r="AR13" s="9" t="n">
        <f aca="false">COUNTIF(Questions!$P$2:$P$1000,$A13)</f>
        <v>12</v>
      </c>
      <c r="AS13" s="9" t="n">
        <f aca="false">SUMIF(Questions!$P$2:$P$1000,$A13,Questions!$I$2:$I$1000)</f>
        <v>96</v>
      </c>
    </row>
    <row r="14" customFormat="false" ht="15" hidden="false" customHeight="false" outlineLevel="0" collapsed="false">
      <c r="A14" s="8" t="s">
        <v>142</v>
      </c>
      <c r="B14" s="8" t="s">
        <v>143</v>
      </c>
      <c r="C14" s="9" t="n">
        <f aca="false">COUNTIFS(Questions!$R$2:$R$1000,"*;"&amp;$A14&amp;";*",Questions!$B$2:$B$1000,2021,Questions!$C$2:$C$1000,"Feb/March",Questions!$D$2:$D$1000,"9708/22")</f>
        <v>1</v>
      </c>
      <c r="D14" s="9" t="n">
        <f aca="false">COUNTIFS(Questions!$R$2:$R$1000,"*;"&amp;$A14&amp;";*",Questions!$B$2:$B$1000,2021,Questions!$C$2:$C$1000,"May/June",Questions!$D$2:$D$1000,"9708/21")</f>
        <v>2</v>
      </c>
      <c r="E14" s="9" t="n">
        <f aca="false">COUNTIFS(Questions!$R$2:$R$1000,"*;"&amp;$A14&amp;";*",Questions!$B$2:$B$1000,2021,Questions!$C$2:$C$1000,"May/June",Questions!$D$2:$D$1000,"9708/22")</f>
        <v>0</v>
      </c>
      <c r="F14" s="9" t="n">
        <f aca="false">COUNTIFS(Questions!$R$2:$R$1000,"*;"&amp;$A14&amp;";*",Questions!$B$2:$B$1000,2021,Questions!$C$2:$C$1000,"May/June",Questions!$D$2:$D$1000,"9708/23")</f>
        <v>1</v>
      </c>
      <c r="G14" s="9" t="n">
        <f aca="false">COUNTIFS(Questions!$R$2:$R$1000,"*;"&amp;$A14&amp;";*",Questions!$B$2:$B$1000,2021,Questions!$C$2:$C$1000,"Oct/Nov",Questions!$D$2:$D$1000,"9708/21")</f>
        <v>1</v>
      </c>
      <c r="H14" s="9" t="n">
        <f aca="false">COUNTIFS(Questions!$R$2:$R$1000,"*;"&amp;$A14&amp;";*",Questions!$B$2:$B$1000,2021,Questions!$C$2:$C$1000,"Oct/Nov",Questions!$D$2:$D$1000,"9708/22")</f>
        <v>0</v>
      </c>
      <c r="I14" s="9" t="n">
        <f aca="false">COUNTIFS(Questions!$R$2:$R$1000,"*;"&amp;$A14&amp;";*",Questions!$B$2:$B$1000,2021,Questions!$C$2:$C$1000,"Oct/Nov",Questions!$D$2:$D$1000,"9708/23")</f>
        <v>0</v>
      </c>
      <c r="J14" s="9" t="n">
        <f aca="false">COUNTIFS(Questions!$R$2:$R$1000,"*;"&amp;$A14&amp;";*",Questions!$B$2:$B$1000,2022,Questions!$C$2:$C$1000,"Feb/March",Questions!$D$2:$D$1000,"9708/22")</f>
        <v>0</v>
      </c>
      <c r="K14" s="9" t="n">
        <f aca="false">COUNTIFS(Questions!$R$2:$R$1000,"*;"&amp;$A14&amp;";*",Questions!$B$2:$B$1000,2022,Questions!$C$2:$C$1000,"May/June",Questions!$D$2:$D$1000,"9708/21")</f>
        <v>0</v>
      </c>
      <c r="L14" s="9" t="n">
        <f aca="false">COUNTIFS(Questions!$R$2:$R$1000,"*;"&amp;$A14&amp;";*",Questions!$B$2:$B$1000,2022,Questions!$C$2:$C$1000,"May/June",Questions!$D$2:$D$1000,"9708/22")</f>
        <v>1</v>
      </c>
      <c r="M14" s="9" t="n">
        <f aca="false">COUNTIFS(Questions!$R$2:$R$1000,"*;"&amp;$A14&amp;";*",Questions!$B$2:$B$1000,2022,Questions!$C$2:$C$1000,"May/June",Questions!$D$2:$D$1000,"9708/23")</f>
        <v>2</v>
      </c>
      <c r="N14" s="9" t="n">
        <f aca="false">COUNTIFS(Questions!$R$2:$R$1000,"*;"&amp;$A14&amp;";*",Questions!$B$2:$B$1000,2022,Questions!$C$2:$C$1000,"Oct/Nov",Questions!$D$2:$D$1000,"9708/21")</f>
        <v>2</v>
      </c>
      <c r="O14" s="9" t="n">
        <f aca="false">COUNTIFS(Questions!$R$2:$R$1000,"*;"&amp;$A14&amp;";*",Questions!$B$2:$B$1000,2022,Questions!$C$2:$C$1000,"Oct/Nov",Questions!$D$2:$D$1000,"9708/22")</f>
        <v>3</v>
      </c>
      <c r="P14" s="9" t="n">
        <f aca="false">COUNTIFS(Questions!$R$2:$R$1000,"*;"&amp;$A14&amp;";*",Questions!$B$2:$B$1000,2022,Questions!$C$2:$C$1000,"Oct/Nov",Questions!$D$2:$D$1000,"9708/23")</f>
        <v>0</v>
      </c>
      <c r="Q14" s="9" t="n">
        <f aca="false">COUNTIFS(Questions!$R$2:$R$1000,"*;"&amp;$A14&amp;";*",Questions!$B$2:$B$1000,2023,Questions!$C$2:$C$1000,"Feb/March",Questions!$D$2:$D$1000,"9708/22")</f>
        <v>1</v>
      </c>
      <c r="R14" s="9" t="n">
        <f aca="false">COUNTIFS(Questions!$R$2:$R$1000,"*;"&amp;$A14&amp;";*",Questions!$B$2:$B$1000,2023,Questions!$C$2:$C$1000,"May/June",Questions!$D$2:$D$1000,"9708/21")</f>
        <v>0</v>
      </c>
      <c r="S14" s="9" t="n">
        <f aca="false">COUNTIFS(Questions!$R$2:$R$1000,"*;"&amp;$A14&amp;";*",Questions!$B$2:$B$1000,2023,Questions!$C$2:$C$1000,"May/June",Questions!$D$2:$D$1000,"9708/22")</f>
        <v>2</v>
      </c>
      <c r="T14" s="9" t="n">
        <f aca="false">COUNTIFS(Questions!$R$2:$R$1000,"*;"&amp;$A14&amp;";*",Questions!$B$2:$B$1000,2023,Questions!$C$2:$C$1000,"May/June",Questions!$D$2:$D$1000,"9708/23")</f>
        <v>1</v>
      </c>
      <c r="U14" s="9" t="n">
        <f aca="false">COUNTIFS(Questions!$R$2:$R$1000,"*;"&amp;$A14&amp;";*",Questions!$B$2:$B$1000,2023,Questions!$C$2:$C$1000,"Oct/Nov",Questions!$D$2:$D$1000,"9708/21")</f>
        <v>1</v>
      </c>
      <c r="V14" s="9" t="n">
        <f aca="false">COUNTIFS(Questions!$R$2:$R$1000,"*;"&amp;$A14&amp;";*",Questions!$B$2:$B$1000,2023,Questions!$C$2:$C$1000,"Oct/Nov",Questions!$D$2:$D$1000,"9708/22")</f>
        <v>2</v>
      </c>
      <c r="W14" s="9" t="n">
        <f aca="false">COUNTIFS(Questions!$R$2:$R$1000,"*;"&amp;$A14&amp;";*",Questions!$B$2:$B$1000,2023,Questions!$C$2:$C$1000,"Oct/Nov",Questions!$D$2:$D$1000,"9708/23")</f>
        <v>0</v>
      </c>
      <c r="X14" s="9" t="n">
        <f aca="false">COUNTIFS(Questions!$R$2:$R$1000,"*;"&amp;$A14&amp;";*",Questions!$B$2:$B$1000,2024,Questions!$C$2:$C$1000,"Feb/March",Questions!$D$2:$D$1000,"9708/22")</f>
        <v>2</v>
      </c>
      <c r="Y14" s="9" t="n">
        <f aca="false">COUNTIFS(Questions!$R$2:$R$1000,"*;"&amp;$A14&amp;";*",Questions!$B$2:$B$1000,2024,Questions!$C$2:$C$1000,"May/June",Questions!$D$2:$D$1000,"9708/21")</f>
        <v>0</v>
      </c>
      <c r="Z14" s="9" t="n">
        <f aca="false">COUNTIFS(Questions!$R$2:$R$1000,"*;"&amp;$A14&amp;";*",Questions!$B$2:$B$1000,2024,Questions!$C$2:$C$1000,"May/June",Questions!$D$2:$D$1000,"9708/22")</f>
        <v>0</v>
      </c>
      <c r="AA14" s="9" t="n">
        <f aca="false">COUNTIFS(Questions!$R$2:$R$1000,"*;"&amp;$A14&amp;";*",Questions!$B$2:$B$1000,2024,Questions!$C$2:$C$1000,"May/June",Questions!$D$2:$D$1000,"9708/23")</f>
        <v>0</v>
      </c>
      <c r="AB14" s="9" t="n">
        <f aca="false">COUNTIFS(Questions!$R$2:$R$1000,"*;"&amp;$A14&amp;";*",Questions!$B$2:$B$1000,2024,Questions!$C$2:$C$1000,"Oct/Nov",Questions!$D$2:$D$1000,"9708/21")</f>
        <v>0</v>
      </c>
      <c r="AC14" s="9" t="n">
        <f aca="false">COUNTIFS(Questions!$R$2:$R$1000,"*;"&amp;$A14&amp;";*",Questions!$B$2:$B$1000,2024,Questions!$C$2:$C$1000,"Oct/Nov",Questions!$D$2:$D$1000,"9708/22")</f>
        <v>1</v>
      </c>
      <c r="AD14" s="9" t="n">
        <f aca="false">COUNTIFS(Questions!$R$2:$R$1000,"*;"&amp;$A14&amp;";*",Questions!$B$2:$B$1000,2024,Questions!$C$2:$C$1000,"Oct/Nov",Questions!$D$2:$D$1000,"9708/23")</f>
        <v>2</v>
      </c>
      <c r="AE14" s="9" t="n">
        <f aca="false">COUNTIFS(Questions!$R$2:$R$1000,"*;"&amp;$A14&amp;";*",Questions!$B$2:$B$1000,2025,Questions!$C$2:$C$1000,"May/June",Questions!$D$2:$D$1000,"9708/21")</f>
        <v>1</v>
      </c>
      <c r="AF14" s="9" t="n">
        <f aca="false">COUNTIFS(Questions!$R$2:$R$1000,"*;"&amp;$A14&amp;";*",Questions!$B$2:$B$1000,2025,Questions!$C$2:$C$1000,"May/June",Questions!$D$2:$D$1000,"9708/22")</f>
        <v>0</v>
      </c>
      <c r="AG14" s="9" t="n">
        <f aca="false">COUNTIFS(Questions!$R$2:$R$1000,"*;"&amp;$A14&amp;";*",Questions!$B$2:$B$1000,2025,Questions!$C$2:$C$1000,"May/June",Questions!$D$2:$D$1000,"9708/23")</f>
        <v>3</v>
      </c>
      <c r="AH14" s="9" t="n">
        <f aca="false">COUNTIFS(Questions!$R$2:$R$1000,"*;"&amp;$A14&amp;";*",Questions!$B$2:$B$1000,2025,Questions!$C$2:$C$1000,"May/June",Questions!$D$2:$D$1000,"9708/24")</f>
        <v>0</v>
      </c>
      <c r="AI14" s="9" t="n">
        <f aca="false">COUNTIFS(Questions!$R$2:$R$1000,"*;"&amp;$A14&amp;";*",Questions!$B$2:$B$1000,2025,Questions!$C$2:$C$1000,"Oct/Nov",Questions!$D$2:$D$1000,"9708/21")</f>
        <v>0</v>
      </c>
      <c r="AJ14" s="9" t="n">
        <f aca="false">COUNTIFS(Questions!$R$2:$R$1000,"*;"&amp;$A14&amp;";*",Questions!$B$2:$B$1000,2025,Questions!$C$2:$C$1000,"Oct/Nov",Questions!$D$2:$D$1000,"9708/22")</f>
        <v>1</v>
      </c>
      <c r="AK14" s="9" t="n">
        <f aca="false">COUNTIFS(Questions!$R$2:$R$1000,"*;"&amp;$A14&amp;";*",Questions!$B$2:$B$1000,2025,Questions!$C$2:$C$1000,"Oct/Nov",Questions!$D$2:$D$1000,"9708/23")</f>
        <v>1</v>
      </c>
      <c r="AL14" s="9" t="n">
        <f aca="false">COUNTIFS(Questions!$R$2:$R$1000,"*;"&amp;$A14&amp;";*",Questions!$B$2:$B$1000,2025,Questions!$C$2:$C$1000,"Oct/Nov",Questions!$D$2:$D$1000,"9708/24")</f>
        <v>1</v>
      </c>
      <c r="AM14" s="9" t="n">
        <f aca="false">COUNTIFS(Questions!$R$2:$R$1000,"*;"&amp;$A14&amp;";*",Questions!$B$2:$B$1000,2026,Questions!$C$2:$C$1000,"May/June",Questions!$D$2:$D$1000,"9708/21")</f>
        <v>0</v>
      </c>
      <c r="AN14" s="9" t="n">
        <f aca="false">COUNTIFS(Questions!$R$2:$R$1000,"*;"&amp;$A14&amp;";*",Questions!$B$2:$B$1000,2026,Questions!$C$2:$C$1000,"May/June",Questions!$D$2:$D$1000,"9708/22")</f>
        <v>2</v>
      </c>
      <c r="AO14" s="9" t="n">
        <f aca="false">COUNTIFS(Questions!$R$2:$R$1000,"*;"&amp;$A14&amp;";*",Questions!$B$2:$B$1000,2026,Questions!$C$2:$C$1000,"May/June",Questions!$D$2:$D$1000,"9708/23")</f>
        <v>2</v>
      </c>
      <c r="AP14" s="9" t="n">
        <f aca="false">COUNTIFS(Questions!$R$2:$R$1000,"*;"&amp;$A14&amp;";*",Questions!$B$2:$B$1000,2026,Questions!$C$2:$C$1000,"May/June",Questions!$D$2:$D$1000,"9708/24")</f>
        <v>2</v>
      </c>
      <c r="AQ14" s="9" t="n">
        <f aca="false">SUM(C14:AP14)</f>
        <v>38</v>
      </c>
      <c r="AR14" s="9" t="n">
        <f aca="false">COUNTIF(Questions!$P$2:$P$1000,$A14)</f>
        <v>22</v>
      </c>
      <c r="AS14" s="9" t="n">
        <f aca="false">SUMIF(Questions!$P$2:$P$1000,$A14,Questions!$I$2:$I$1000)</f>
        <v>119</v>
      </c>
    </row>
    <row r="15" customFormat="false" ht="15" hidden="false" customHeight="false" outlineLevel="0" collapsed="false">
      <c r="A15" s="8" t="s">
        <v>224</v>
      </c>
      <c r="B15" s="8" t="s">
        <v>225</v>
      </c>
      <c r="C15" s="9" t="n">
        <f aca="false">COUNTIFS(Questions!$R$2:$R$1000,"*;"&amp;$A15&amp;";*",Questions!$B$2:$B$1000,2021,Questions!$C$2:$C$1000,"Feb/March",Questions!$D$2:$D$1000,"9708/22")</f>
        <v>0</v>
      </c>
      <c r="D15" s="9" t="n">
        <f aca="false">COUNTIFS(Questions!$R$2:$R$1000,"*;"&amp;$A15&amp;";*",Questions!$B$2:$B$1000,2021,Questions!$C$2:$C$1000,"May/June",Questions!$D$2:$D$1000,"9708/21")</f>
        <v>1</v>
      </c>
      <c r="E15" s="9" t="n">
        <f aca="false">COUNTIFS(Questions!$R$2:$R$1000,"*;"&amp;$A15&amp;";*",Questions!$B$2:$B$1000,2021,Questions!$C$2:$C$1000,"May/June",Questions!$D$2:$D$1000,"9708/22")</f>
        <v>0</v>
      </c>
      <c r="F15" s="9" t="n">
        <f aca="false">COUNTIFS(Questions!$R$2:$R$1000,"*;"&amp;$A15&amp;";*",Questions!$B$2:$B$1000,2021,Questions!$C$2:$C$1000,"May/June",Questions!$D$2:$D$1000,"9708/23")</f>
        <v>0</v>
      </c>
      <c r="G15" s="9" t="n">
        <f aca="false">COUNTIFS(Questions!$R$2:$R$1000,"*;"&amp;$A15&amp;";*",Questions!$B$2:$B$1000,2021,Questions!$C$2:$C$1000,"Oct/Nov",Questions!$D$2:$D$1000,"9708/21")</f>
        <v>1</v>
      </c>
      <c r="H15" s="9" t="n">
        <f aca="false">COUNTIFS(Questions!$R$2:$R$1000,"*;"&amp;$A15&amp;";*",Questions!$B$2:$B$1000,2021,Questions!$C$2:$C$1000,"Oct/Nov",Questions!$D$2:$D$1000,"9708/22")</f>
        <v>1</v>
      </c>
      <c r="I15" s="9" t="n">
        <f aca="false">COUNTIFS(Questions!$R$2:$R$1000,"*;"&amp;$A15&amp;";*",Questions!$B$2:$B$1000,2021,Questions!$C$2:$C$1000,"Oct/Nov",Questions!$D$2:$D$1000,"9708/23")</f>
        <v>0</v>
      </c>
      <c r="J15" s="9" t="n">
        <f aca="false">COUNTIFS(Questions!$R$2:$R$1000,"*;"&amp;$A15&amp;";*",Questions!$B$2:$B$1000,2022,Questions!$C$2:$C$1000,"Feb/March",Questions!$D$2:$D$1000,"9708/22")</f>
        <v>0</v>
      </c>
      <c r="K15" s="9" t="n">
        <f aca="false">COUNTIFS(Questions!$R$2:$R$1000,"*;"&amp;$A15&amp;";*",Questions!$B$2:$B$1000,2022,Questions!$C$2:$C$1000,"May/June",Questions!$D$2:$D$1000,"9708/21")</f>
        <v>0</v>
      </c>
      <c r="L15" s="9" t="n">
        <f aca="false">COUNTIFS(Questions!$R$2:$R$1000,"*;"&amp;$A15&amp;";*",Questions!$B$2:$B$1000,2022,Questions!$C$2:$C$1000,"May/June",Questions!$D$2:$D$1000,"9708/22")</f>
        <v>0</v>
      </c>
      <c r="M15" s="9" t="n">
        <f aca="false">COUNTIFS(Questions!$R$2:$R$1000,"*;"&amp;$A15&amp;";*",Questions!$B$2:$B$1000,2022,Questions!$C$2:$C$1000,"May/June",Questions!$D$2:$D$1000,"9708/23")</f>
        <v>0</v>
      </c>
      <c r="N15" s="9" t="n">
        <f aca="false">COUNTIFS(Questions!$R$2:$R$1000,"*;"&amp;$A15&amp;";*",Questions!$B$2:$B$1000,2022,Questions!$C$2:$C$1000,"Oct/Nov",Questions!$D$2:$D$1000,"9708/21")</f>
        <v>0</v>
      </c>
      <c r="O15" s="9" t="n">
        <f aca="false">COUNTIFS(Questions!$R$2:$R$1000,"*;"&amp;$A15&amp;";*",Questions!$B$2:$B$1000,2022,Questions!$C$2:$C$1000,"Oct/Nov",Questions!$D$2:$D$1000,"9708/22")</f>
        <v>0</v>
      </c>
      <c r="P15" s="9" t="n">
        <f aca="false">COUNTIFS(Questions!$R$2:$R$1000,"*;"&amp;$A15&amp;";*",Questions!$B$2:$B$1000,2022,Questions!$C$2:$C$1000,"Oct/Nov",Questions!$D$2:$D$1000,"9708/23")</f>
        <v>0</v>
      </c>
      <c r="Q15" s="9" t="n">
        <f aca="false">COUNTIFS(Questions!$R$2:$R$1000,"*;"&amp;$A15&amp;";*",Questions!$B$2:$B$1000,2023,Questions!$C$2:$C$1000,"Feb/March",Questions!$D$2:$D$1000,"9708/22")</f>
        <v>0</v>
      </c>
      <c r="R15" s="9" t="n">
        <f aca="false">COUNTIFS(Questions!$R$2:$R$1000,"*;"&amp;$A15&amp;";*",Questions!$B$2:$B$1000,2023,Questions!$C$2:$C$1000,"May/June",Questions!$D$2:$D$1000,"9708/21")</f>
        <v>0</v>
      </c>
      <c r="S15" s="9" t="n">
        <f aca="false">COUNTIFS(Questions!$R$2:$R$1000,"*;"&amp;$A15&amp;";*",Questions!$B$2:$B$1000,2023,Questions!$C$2:$C$1000,"May/June",Questions!$D$2:$D$1000,"9708/22")</f>
        <v>1</v>
      </c>
      <c r="T15" s="9" t="n">
        <f aca="false">COUNTIFS(Questions!$R$2:$R$1000,"*;"&amp;$A15&amp;";*",Questions!$B$2:$B$1000,2023,Questions!$C$2:$C$1000,"May/June",Questions!$D$2:$D$1000,"9708/23")</f>
        <v>1</v>
      </c>
      <c r="U15" s="9" t="n">
        <f aca="false">COUNTIFS(Questions!$R$2:$R$1000,"*;"&amp;$A15&amp;";*",Questions!$B$2:$B$1000,2023,Questions!$C$2:$C$1000,"Oct/Nov",Questions!$D$2:$D$1000,"9708/21")</f>
        <v>0</v>
      </c>
      <c r="V15" s="9" t="n">
        <f aca="false">COUNTIFS(Questions!$R$2:$R$1000,"*;"&amp;$A15&amp;";*",Questions!$B$2:$B$1000,2023,Questions!$C$2:$C$1000,"Oct/Nov",Questions!$D$2:$D$1000,"9708/22")</f>
        <v>0</v>
      </c>
      <c r="W15" s="9" t="n">
        <f aca="false">COUNTIFS(Questions!$R$2:$R$1000,"*;"&amp;$A15&amp;";*",Questions!$B$2:$B$1000,2023,Questions!$C$2:$C$1000,"Oct/Nov",Questions!$D$2:$D$1000,"9708/23")</f>
        <v>0</v>
      </c>
      <c r="X15" s="9" t="n">
        <f aca="false">COUNTIFS(Questions!$R$2:$R$1000,"*;"&amp;$A15&amp;";*",Questions!$B$2:$B$1000,2024,Questions!$C$2:$C$1000,"Feb/March",Questions!$D$2:$D$1000,"9708/22")</f>
        <v>0</v>
      </c>
      <c r="Y15" s="9" t="n">
        <f aca="false">COUNTIFS(Questions!$R$2:$R$1000,"*;"&amp;$A15&amp;";*",Questions!$B$2:$B$1000,2024,Questions!$C$2:$C$1000,"May/June",Questions!$D$2:$D$1000,"9708/21")</f>
        <v>0</v>
      </c>
      <c r="Z15" s="9" t="n">
        <f aca="false">COUNTIFS(Questions!$R$2:$R$1000,"*;"&amp;$A15&amp;";*",Questions!$B$2:$B$1000,2024,Questions!$C$2:$C$1000,"May/June",Questions!$D$2:$D$1000,"9708/22")</f>
        <v>0</v>
      </c>
      <c r="AA15" s="9" t="n">
        <f aca="false">COUNTIFS(Questions!$R$2:$R$1000,"*;"&amp;$A15&amp;";*",Questions!$B$2:$B$1000,2024,Questions!$C$2:$C$1000,"May/June",Questions!$D$2:$D$1000,"9708/23")</f>
        <v>0</v>
      </c>
      <c r="AB15" s="9" t="n">
        <f aca="false">COUNTIFS(Questions!$R$2:$R$1000,"*;"&amp;$A15&amp;";*",Questions!$B$2:$B$1000,2024,Questions!$C$2:$C$1000,"Oct/Nov",Questions!$D$2:$D$1000,"9708/21")</f>
        <v>0</v>
      </c>
      <c r="AC15" s="9" t="n">
        <f aca="false">COUNTIFS(Questions!$R$2:$R$1000,"*;"&amp;$A15&amp;";*",Questions!$B$2:$B$1000,2024,Questions!$C$2:$C$1000,"Oct/Nov",Questions!$D$2:$D$1000,"9708/22")</f>
        <v>0</v>
      </c>
      <c r="AD15" s="9" t="n">
        <f aca="false">COUNTIFS(Questions!$R$2:$R$1000,"*;"&amp;$A15&amp;";*",Questions!$B$2:$B$1000,2024,Questions!$C$2:$C$1000,"Oct/Nov",Questions!$D$2:$D$1000,"9708/23")</f>
        <v>1</v>
      </c>
      <c r="AE15" s="9" t="n">
        <f aca="false">COUNTIFS(Questions!$R$2:$R$1000,"*;"&amp;$A15&amp;";*",Questions!$B$2:$B$1000,2025,Questions!$C$2:$C$1000,"May/June",Questions!$D$2:$D$1000,"9708/21")</f>
        <v>0</v>
      </c>
      <c r="AF15" s="9" t="n">
        <f aca="false">COUNTIFS(Questions!$R$2:$R$1000,"*;"&amp;$A15&amp;";*",Questions!$B$2:$B$1000,2025,Questions!$C$2:$C$1000,"May/June",Questions!$D$2:$D$1000,"9708/22")</f>
        <v>0</v>
      </c>
      <c r="AG15" s="9" t="n">
        <f aca="false">COUNTIFS(Questions!$R$2:$R$1000,"*;"&amp;$A15&amp;";*",Questions!$B$2:$B$1000,2025,Questions!$C$2:$C$1000,"May/June",Questions!$D$2:$D$1000,"9708/23")</f>
        <v>0</v>
      </c>
      <c r="AH15" s="9" t="n">
        <f aca="false">COUNTIFS(Questions!$R$2:$R$1000,"*;"&amp;$A15&amp;";*",Questions!$B$2:$B$1000,2025,Questions!$C$2:$C$1000,"May/June",Questions!$D$2:$D$1000,"9708/24")</f>
        <v>1</v>
      </c>
      <c r="AI15" s="9" t="n">
        <f aca="false">COUNTIFS(Questions!$R$2:$R$1000,"*;"&amp;$A15&amp;";*",Questions!$B$2:$B$1000,2025,Questions!$C$2:$C$1000,"Oct/Nov",Questions!$D$2:$D$1000,"9708/21")</f>
        <v>0</v>
      </c>
      <c r="AJ15" s="9" t="n">
        <f aca="false">COUNTIFS(Questions!$R$2:$R$1000,"*;"&amp;$A15&amp;";*",Questions!$B$2:$B$1000,2025,Questions!$C$2:$C$1000,"Oct/Nov",Questions!$D$2:$D$1000,"9708/22")</f>
        <v>1</v>
      </c>
      <c r="AK15" s="9" t="n">
        <f aca="false">COUNTIFS(Questions!$R$2:$R$1000,"*;"&amp;$A15&amp;";*",Questions!$B$2:$B$1000,2025,Questions!$C$2:$C$1000,"Oct/Nov",Questions!$D$2:$D$1000,"9708/23")</f>
        <v>0</v>
      </c>
      <c r="AL15" s="9" t="n">
        <f aca="false">COUNTIFS(Questions!$R$2:$R$1000,"*;"&amp;$A15&amp;";*",Questions!$B$2:$B$1000,2025,Questions!$C$2:$C$1000,"Oct/Nov",Questions!$D$2:$D$1000,"9708/24")</f>
        <v>0</v>
      </c>
      <c r="AM15" s="9" t="n">
        <f aca="false">COUNTIFS(Questions!$R$2:$R$1000,"*;"&amp;$A15&amp;";*",Questions!$B$2:$B$1000,2026,Questions!$C$2:$C$1000,"May/June",Questions!$D$2:$D$1000,"9708/21")</f>
        <v>0</v>
      </c>
      <c r="AN15" s="9" t="n">
        <f aca="false">COUNTIFS(Questions!$R$2:$R$1000,"*;"&amp;$A15&amp;";*",Questions!$B$2:$B$1000,2026,Questions!$C$2:$C$1000,"May/June",Questions!$D$2:$D$1000,"9708/22")</f>
        <v>0</v>
      </c>
      <c r="AO15" s="9" t="n">
        <f aca="false">COUNTIFS(Questions!$R$2:$R$1000,"*;"&amp;$A15&amp;";*",Questions!$B$2:$B$1000,2026,Questions!$C$2:$C$1000,"May/June",Questions!$D$2:$D$1000,"9708/23")</f>
        <v>1</v>
      </c>
      <c r="AP15" s="9" t="n">
        <f aca="false">COUNTIFS(Questions!$R$2:$R$1000,"*;"&amp;$A15&amp;";*",Questions!$B$2:$B$1000,2026,Questions!$C$2:$C$1000,"May/June",Questions!$D$2:$D$1000,"9708/24")</f>
        <v>0</v>
      </c>
      <c r="AQ15" s="9" t="n">
        <f aca="false">SUM(C15:AP15)</f>
        <v>9</v>
      </c>
      <c r="AR15" s="9" t="n">
        <f aca="false">COUNTIF(Questions!$P$2:$P$1000,$A15)</f>
        <v>5</v>
      </c>
      <c r="AS15" s="9" t="n">
        <f aca="false">SUMIF(Questions!$P$2:$P$1000,$A15,Questions!$I$2:$I$1000)</f>
        <v>44</v>
      </c>
    </row>
    <row r="16" customFormat="false" ht="15" hidden="false" customHeight="false" outlineLevel="0" collapsed="false">
      <c r="A16" s="8" t="s">
        <v>1493</v>
      </c>
      <c r="B16" s="8" t="s">
        <v>1494</v>
      </c>
      <c r="C16" s="9" t="n">
        <f aca="false">COUNTIFS(Questions!$R$2:$R$1000,"*;"&amp;$A16&amp;";*",Questions!$B$2:$B$1000,2021,Questions!$C$2:$C$1000,"Feb/March",Questions!$D$2:$D$1000,"9708/22")</f>
        <v>1</v>
      </c>
      <c r="D16" s="9" t="n">
        <f aca="false">COUNTIFS(Questions!$R$2:$R$1000,"*;"&amp;$A16&amp;";*",Questions!$B$2:$B$1000,2021,Questions!$C$2:$C$1000,"May/June",Questions!$D$2:$D$1000,"9708/21")</f>
        <v>0</v>
      </c>
      <c r="E16" s="9" t="n">
        <f aca="false">COUNTIFS(Questions!$R$2:$R$1000,"*;"&amp;$A16&amp;";*",Questions!$B$2:$B$1000,2021,Questions!$C$2:$C$1000,"May/June",Questions!$D$2:$D$1000,"9708/22")</f>
        <v>1</v>
      </c>
      <c r="F16" s="9" t="n">
        <f aca="false">COUNTIFS(Questions!$R$2:$R$1000,"*;"&amp;$A16&amp;";*",Questions!$B$2:$B$1000,2021,Questions!$C$2:$C$1000,"May/June",Questions!$D$2:$D$1000,"9708/23")</f>
        <v>0</v>
      </c>
      <c r="G16" s="9" t="n">
        <f aca="false">COUNTIFS(Questions!$R$2:$R$1000,"*;"&amp;$A16&amp;";*",Questions!$B$2:$B$1000,2021,Questions!$C$2:$C$1000,"Oct/Nov",Questions!$D$2:$D$1000,"9708/21")</f>
        <v>0</v>
      </c>
      <c r="H16" s="9" t="n">
        <f aca="false">COUNTIFS(Questions!$R$2:$R$1000,"*;"&amp;$A16&amp;";*",Questions!$B$2:$B$1000,2021,Questions!$C$2:$C$1000,"Oct/Nov",Questions!$D$2:$D$1000,"9708/22")</f>
        <v>0</v>
      </c>
      <c r="I16" s="9" t="n">
        <f aca="false">COUNTIFS(Questions!$R$2:$R$1000,"*;"&amp;$A16&amp;";*",Questions!$B$2:$B$1000,2021,Questions!$C$2:$C$1000,"Oct/Nov",Questions!$D$2:$D$1000,"9708/23")</f>
        <v>0</v>
      </c>
      <c r="J16" s="9" t="n">
        <f aca="false">COUNTIFS(Questions!$R$2:$R$1000,"*;"&amp;$A16&amp;";*",Questions!$B$2:$B$1000,2022,Questions!$C$2:$C$1000,"Feb/March",Questions!$D$2:$D$1000,"9708/22")</f>
        <v>0</v>
      </c>
      <c r="K16" s="9" t="n">
        <f aca="false">COUNTIFS(Questions!$R$2:$R$1000,"*;"&amp;$A16&amp;";*",Questions!$B$2:$B$1000,2022,Questions!$C$2:$C$1000,"May/June",Questions!$D$2:$D$1000,"9708/21")</f>
        <v>0</v>
      </c>
      <c r="L16" s="9" t="n">
        <f aca="false">COUNTIFS(Questions!$R$2:$R$1000,"*;"&amp;$A16&amp;";*",Questions!$B$2:$B$1000,2022,Questions!$C$2:$C$1000,"May/June",Questions!$D$2:$D$1000,"9708/22")</f>
        <v>0</v>
      </c>
      <c r="M16" s="9" t="n">
        <f aca="false">COUNTIFS(Questions!$R$2:$R$1000,"*;"&amp;$A16&amp;";*",Questions!$B$2:$B$1000,2022,Questions!$C$2:$C$1000,"May/June",Questions!$D$2:$D$1000,"9708/23")</f>
        <v>0</v>
      </c>
      <c r="N16" s="9" t="n">
        <f aca="false">COUNTIFS(Questions!$R$2:$R$1000,"*;"&amp;$A16&amp;";*",Questions!$B$2:$B$1000,2022,Questions!$C$2:$C$1000,"Oct/Nov",Questions!$D$2:$D$1000,"9708/21")</f>
        <v>0</v>
      </c>
      <c r="O16" s="9" t="n">
        <f aca="false">COUNTIFS(Questions!$R$2:$R$1000,"*;"&amp;$A16&amp;";*",Questions!$B$2:$B$1000,2022,Questions!$C$2:$C$1000,"Oct/Nov",Questions!$D$2:$D$1000,"9708/22")</f>
        <v>0</v>
      </c>
      <c r="P16" s="9" t="n">
        <f aca="false">COUNTIFS(Questions!$R$2:$R$1000,"*;"&amp;$A16&amp;";*",Questions!$B$2:$B$1000,2022,Questions!$C$2:$C$1000,"Oct/Nov",Questions!$D$2:$D$1000,"9708/23")</f>
        <v>1</v>
      </c>
      <c r="Q16" s="9" t="n">
        <f aca="false">COUNTIFS(Questions!$R$2:$R$1000,"*;"&amp;$A16&amp;";*",Questions!$B$2:$B$1000,2023,Questions!$C$2:$C$1000,"Feb/March",Questions!$D$2:$D$1000,"9708/22")</f>
        <v>1</v>
      </c>
      <c r="R16" s="9" t="n">
        <f aca="false">COUNTIFS(Questions!$R$2:$R$1000,"*;"&amp;$A16&amp;";*",Questions!$B$2:$B$1000,2023,Questions!$C$2:$C$1000,"May/June",Questions!$D$2:$D$1000,"9708/21")</f>
        <v>0</v>
      </c>
      <c r="S16" s="9" t="n">
        <f aca="false">COUNTIFS(Questions!$R$2:$R$1000,"*;"&amp;$A16&amp;";*",Questions!$B$2:$B$1000,2023,Questions!$C$2:$C$1000,"May/June",Questions!$D$2:$D$1000,"9708/22")</f>
        <v>0</v>
      </c>
      <c r="T16" s="9" t="n">
        <f aca="false">COUNTIFS(Questions!$R$2:$R$1000,"*;"&amp;$A16&amp;";*",Questions!$B$2:$B$1000,2023,Questions!$C$2:$C$1000,"May/June",Questions!$D$2:$D$1000,"9708/23")</f>
        <v>2</v>
      </c>
      <c r="U16" s="9" t="n">
        <f aca="false">COUNTIFS(Questions!$R$2:$R$1000,"*;"&amp;$A16&amp;";*",Questions!$B$2:$B$1000,2023,Questions!$C$2:$C$1000,"Oct/Nov",Questions!$D$2:$D$1000,"9708/21")</f>
        <v>0</v>
      </c>
      <c r="V16" s="9" t="n">
        <f aca="false">COUNTIFS(Questions!$R$2:$R$1000,"*;"&amp;$A16&amp;";*",Questions!$B$2:$B$1000,2023,Questions!$C$2:$C$1000,"Oct/Nov",Questions!$D$2:$D$1000,"9708/22")</f>
        <v>1</v>
      </c>
      <c r="W16" s="9" t="n">
        <f aca="false">COUNTIFS(Questions!$R$2:$R$1000,"*;"&amp;$A16&amp;";*",Questions!$B$2:$B$1000,2023,Questions!$C$2:$C$1000,"Oct/Nov",Questions!$D$2:$D$1000,"9708/23")</f>
        <v>1</v>
      </c>
      <c r="X16" s="9" t="n">
        <f aca="false">COUNTIFS(Questions!$R$2:$R$1000,"*;"&amp;$A16&amp;";*",Questions!$B$2:$B$1000,2024,Questions!$C$2:$C$1000,"Feb/March",Questions!$D$2:$D$1000,"9708/22")</f>
        <v>1</v>
      </c>
      <c r="Y16" s="9" t="n">
        <f aca="false">COUNTIFS(Questions!$R$2:$R$1000,"*;"&amp;$A16&amp;";*",Questions!$B$2:$B$1000,2024,Questions!$C$2:$C$1000,"May/June",Questions!$D$2:$D$1000,"9708/21")</f>
        <v>1</v>
      </c>
      <c r="Z16" s="9" t="n">
        <f aca="false">COUNTIFS(Questions!$R$2:$R$1000,"*;"&amp;$A16&amp;";*",Questions!$B$2:$B$1000,2024,Questions!$C$2:$C$1000,"May/June",Questions!$D$2:$D$1000,"9708/22")</f>
        <v>0</v>
      </c>
      <c r="AA16" s="9" t="n">
        <f aca="false">COUNTIFS(Questions!$R$2:$R$1000,"*;"&amp;$A16&amp;";*",Questions!$B$2:$B$1000,2024,Questions!$C$2:$C$1000,"May/June",Questions!$D$2:$D$1000,"9708/23")</f>
        <v>0</v>
      </c>
      <c r="AB16" s="9" t="n">
        <f aca="false">COUNTIFS(Questions!$R$2:$R$1000,"*;"&amp;$A16&amp;";*",Questions!$B$2:$B$1000,2024,Questions!$C$2:$C$1000,"Oct/Nov",Questions!$D$2:$D$1000,"9708/21")</f>
        <v>1</v>
      </c>
      <c r="AC16" s="9" t="n">
        <f aca="false">COUNTIFS(Questions!$R$2:$R$1000,"*;"&amp;$A16&amp;";*",Questions!$B$2:$B$1000,2024,Questions!$C$2:$C$1000,"Oct/Nov",Questions!$D$2:$D$1000,"9708/22")</f>
        <v>0</v>
      </c>
      <c r="AD16" s="9" t="n">
        <f aca="false">COUNTIFS(Questions!$R$2:$R$1000,"*;"&amp;$A16&amp;";*",Questions!$B$2:$B$1000,2024,Questions!$C$2:$C$1000,"Oct/Nov",Questions!$D$2:$D$1000,"9708/23")</f>
        <v>0</v>
      </c>
      <c r="AE16" s="9" t="n">
        <f aca="false">COUNTIFS(Questions!$R$2:$R$1000,"*;"&amp;$A16&amp;";*",Questions!$B$2:$B$1000,2025,Questions!$C$2:$C$1000,"May/June",Questions!$D$2:$D$1000,"9708/21")</f>
        <v>1</v>
      </c>
      <c r="AF16" s="9" t="n">
        <f aca="false">COUNTIFS(Questions!$R$2:$R$1000,"*;"&amp;$A16&amp;";*",Questions!$B$2:$B$1000,2025,Questions!$C$2:$C$1000,"May/June",Questions!$D$2:$D$1000,"9708/22")</f>
        <v>1</v>
      </c>
      <c r="AG16" s="9" t="n">
        <f aca="false">COUNTIFS(Questions!$R$2:$R$1000,"*;"&amp;$A16&amp;";*",Questions!$B$2:$B$1000,2025,Questions!$C$2:$C$1000,"May/June",Questions!$D$2:$D$1000,"9708/23")</f>
        <v>2</v>
      </c>
      <c r="AH16" s="9" t="n">
        <f aca="false">COUNTIFS(Questions!$R$2:$R$1000,"*;"&amp;$A16&amp;";*",Questions!$B$2:$B$1000,2025,Questions!$C$2:$C$1000,"May/June",Questions!$D$2:$D$1000,"9708/24")</f>
        <v>1</v>
      </c>
      <c r="AI16" s="9" t="n">
        <f aca="false">COUNTIFS(Questions!$R$2:$R$1000,"*;"&amp;$A16&amp;";*",Questions!$B$2:$B$1000,2025,Questions!$C$2:$C$1000,"Oct/Nov",Questions!$D$2:$D$1000,"9708/21")</f>
        <v>0</v>
      </c>
      <c r="AJ16" s="9" t="n">
        <f aca="false">COUNTIFS(Questions!$R$2:$R$1000,"*;"&amp;$A16&amp;";*",Questions!$B$2:$B$1000,2025,Questions!$C$2:$C$1000,"Oct/Nov",Questions!$D$2:$D$1000,"9708/22")</f>
        <v>0</v>
      </c>
      <c r="AK16" s="9" t="n">
        <f aca="false">COUNTIFS(Questions!$R$2:$R$1000,"*;"&amp;$A16&amp;";*",Questions!$B$2:$B$1000,2025,Questions!$C$2:$C$1000,"Oct/Nov",Questions!$D$2:$D$1000,"9708/23")</f>
        <v>0</v>
      </c>
      <c r="AL16" s="9" t="n">
        <f aca="false">COUNTIFS(Questions!$R$2:$R$1000,"*;"&amp;$A16&amp;";*",Questions!$B$2:$B$1000,2025,Questions!$C$2:$C$1000,"Oct/Nov",Questions!$D$2:$D$1000,"9708/24")</f>
        <v>1</v>
      </c>
      <c r="AM16" s="9" t="n">
        <f aca="false">COUNTIFS(Questions!$R$2:$R$1000,"*;"&amp;$A16&amp;";*",Questions!$B$2:$B$1000,2026,Questions!$C$2:$C$1000,"May/June",Questions!$D$2:$D$1000,"9708/21")</f>
        <v>1</v>
      </c>
      <c r="AN16" s="9" t="n">
        <f aca="false">COUNTIFS(Questions!$R$2:$R$1000,"*;"&amp;$A16&amp;";*",Questions!$B$2:$B$1000,2026,Questions!$C$2:$C$1000,"May/June",Questions!$D$2:$D$1000,"9708/22")</f>
        <v>3</v>
      </c>
      <c r="AO16" s="9" t="n">
        <f aca="false">COUNTIFS(Questions!$R$2:$R$1000,"*;"&amp;$A16&amp;";*",Questions!$B$2:$B$1000,2026,Questions!$C$2:$C$1000,"May/June",Questions!$D$2:$D$1000,"9708/23")</f>
        <v>0</v>
      </c>
      <c r="AP16" s="9" t="n">
        <f aca="false">COUNTIFS(Questions!$R$2:$R$1000,"*;"&amp;$A16&amp;";*",Questions!$B$2:$B$1000,2026,Questions!$C$2:$C$1000,"May/June",Questions!$D$2:$D$1000,"9708/24")</f>
        <v>1</v>
      </c>
      <c r="AQ16" s="9" t="n">
        <f aca="false">SUM(C16:AP16)</f>
        <v>22</v>
      </c>
      <c r="AR16" s="9" t="n">
        <f aca="false">COUNTIF(Questions!$P$2:$P$1000,$A16)</f>
        <v>4</v>
      </c>
      <c r="AS16" s="9" t="n">
        <f aca="false">SUMIF(Questions!$P$2:$P$1000,$A16,Questions!$I$2:$I$1000)</f>
        <v>44</v>
      </c>
    </row>
    <row r="17" customFormat="false" ht="15" hidden="false" customHeight="false" outlineLevel="0" collapsed="false">
      <c r="A17" s="8" t="s">
        <v>151</v>
      </c>
      <c r="B17" s="8" t="s">
        <v>152</v>
      </c>
      <c r="C17" s="9" t="n">
        <f aca="false">COUNTIFS(Questions!$R$2:$R$1000,"*;"&amp;$A17&amp;";*",Questions!$B$2:$B$1000,2021,Questions!$C$2:$C$1000,"Feb/March",Questions!$D$2:$D$1000,"9708/22")</f>
        <v>1</v>
      </c>
      <c r="D17" s="9" t="n">
        <f aca="false">COUNTIFS(Questions!$R$2:$R$1000,"*;"&amp;$A17&amp;";*",Questions!$B$2:$B$1000,2021,Questions!$C$2:$C$1000,"May/June",Questions!$D$2:$D$1000,"9708/21")</f>
        <v>1</v>
      </c>
      <c r="E17" s="9" t="n">
        <f aca="false">COUNTIFS(Questions!$R$2:$R$1000,"*;"&amp;$A17&amp;";*",Questions!$B$2:$B$1000,2021,Questions!$C$2:$C$1000,"May/June",Questions!$D$2:$D$1000,"9708/22")</f>
        <v>2</v>
      </c>
      <c r="F17" s="9" t="n">
        <f aca="false">COUNTIFS(Questions!$R$2:$R$1000,"*;"&amp;$A17&amp;";*",Questions!$B$2:$B$1000,2021,Questions!$C$2:$C$1000,"May/June",Questions!$D$2:$D$1000,"9708/23")</f>
        <v>4</v>
      </c>
      <c r="G17" s="9" t="n">
        <f aca="false">COUNTIFS(Questions!$R$2:$R$1000,"*;"&amp;$A17&amp;";*",Questions!$B$2:$B$1000,2021,Questions!$C$2:$C$1000,"Oct/Nov",Questions!$D$2:$D$1000,"9708/21")</f>
        <v>1</v>
      </c>
      <c r="H17" s="9" t="n">
        <f aca="false">COUNTIFS(Questions!$R$2:$R$1000,"*;"&amp;$A17&amp;";*",Questions!$B$2:$B$1000,2021,Questions!$C$2:$C$1000,"Oct/Nov",Questions!$D$2:$D$1000,"9708/22")</f>
        <v>3</v>
      </c>
      <c r="I17" s="9" t="n">
        <f aca="false">COUNTIFS(Questions!$R$2:$R$1000,"*;"&amp;$A17&amp;";*",Questions!$B$2:$B$1000,2021,Questions!$C$2:$C$1000,"Oct/Nov",Questions!$D$2:$D$1000,"9708/23")</f>
        <v>1</v>
      </c>
      <c r="J17" s="9" t="n">
        <f aca="false">COUNTIFS(Questions!$R$2:$R$1000,"*;"&amp;$A17&amp;";*",Questions!$B$2:$B$1000,2022,Questions!$C$2:$C$1000,"Feb/March",Questions!$D$2:$D$1000,"9708/22")</f>
        <v>0</v>
      </c>
      <c r="K17" s="9" t="n">
        <f aca="false">COUNTIFS(Questions!$R$2:$R$1000,"*;"&amp;$A17&amp;";*",Questions!$B$2:$B$1000,2022,Questions!$C$2:$C$1000,"May/June",Questions!$D$2:$D$1000,"9708/21")</f>
        <v>1</v>
      </c>
      <c r="L17" s="9" t="n">
        <f aca="false">COUNTIFS(Questions!$R$2:$R$1000,"*;"&amp;$A17&amp;";*",Questions!$B$2:$B$1000,2022,Questions!$C$2:$C$1000,"May/June",Questions!$D$2:$D$1000,"9708/22")</f>
        <v>0</v>
      </c>
      <c r="M17" s="9" t="n">
        <f aca="false">COUNTIFS(Questions!$R$2:$R$1000,"*;"&amp;$A17&amp;";*",Questions!$B$2:$B$1000,2022,Questions!$C$2:$C$1000,"May/June",Questions!$D$2:$D$1000,"9708/23")</f>
        <v>1</v>
      </c>
      <c r="N17" s="9" t="n">
        <f aca="false">COUNTIFS(Questions!$R$2:$R$1000,"*;"&amp;$A17&amp;";*",Questions!$B$2:$B$1000,2022,Questions!$C$2:$C$1000,"Oct/Nov",Questions!$D$2:$D$1000,"9708/21")</f>
        <v>4</v>
      </c>
      <c r="O17" s="9" t="n">
        <f aca="false">COUNTIFS(Questions!$R$2:$R$1000,"*;"&amp;$A17&amp;";*",Questions!$B$2:$B$1000,2022,Questions!$C$2:$C$1000,"Oct/Nov",Questions!$D$2:$D$1000,"9708/22")</f>
        <v>3</v>
      </c>
      <c r="P17" s="9" t="n">
        <f aca="false">COUNTIFS(Questions!$R$2:$R$1000,"*;"&amp;$A17&amp;";*",Questions!$B$2:$B$1000,2022,Questions!$C$2:$C$1000,"Oct/Nov",Questions!$D$2:$D$1000,"9708/23")</f>
        <v>7</v>
      </c>
      <c r="Q17" s="9" t="n">
        <f aca="false">COUNTIFS(Questions!$R$2:$R$1000,"*;"&amp;$A17&amp;";*",Questions!$B$2:$B$1000,2023,Questions!$C$2:$C$1000,"Feb/March",Questions!$D$2:$D$1000,"9708/22")</f>
        <v>1</v>
      </c>
      <c r="R17" s="9" t="n">
        <f aca="false">COUNTIFS(Questions!$R$2:$R$1000,"*;"&amp;$A17&amp;";*",Questions!$B$2:$B$1000,2023,Questions!$C$2:$C$1000,"May/June",Questions!$D$2:$D$1000,"9708/21")</f>
        <v>1</v>
      </c>
      <c r="S17" s="9" t="n">
        <f aca="false">COUNTIFS(Questions!$R$2:$R$1000,"*;"&amp;$A17&amp;";*",Questions!$B$2:$B$1000,2023,Questions!$C$2:$C$1000,"May/June",Questions!$D$2:$D$1000,"9708/22")</f>
        <v>2</v>
      </c>
      <c r="T17" s="9" t="n">
        <f aca="false">COUNTIFS(Questions!$R$2:$R$1000,"*;"&amp;$A17&amp;";*",Questions!$B$2:$B$1000,2023,Questions!$C$2:$C$1000,"May/June",Questions!$D$2:$D$1000,"9708/23")</f>
        <v>4</v>
      </c>
      <c r="U17" s="9" t="n">
        <f aca="false">COUNTIFS(Questions!$R$2:$R$1000,"*;"&amp;$A17&amp;";*",Questions!$B$2:$B$1000,2023,Questions!$C$2:$C$1000,"Oct/Nov",Questions!$D$2:$D$1000,"9708/21")</f>
        <v>2</v>
      </c>
      <c r="V17" s="9" t="n">
        <f aca="false">COUNTIFS(Questions!$R$2:$R$1000,"*;"&amp;$A17&amp;";*",Questions!$B$2:$B$1000,2023,Questions!$C$2:$C$1000,"Oct/Nov",Questions!$D$2:$D$1000,"9708/22")</f>
        <v>0</v>
      </c>
      <c r="W17" s="9" t="n">
        <f aca="false">COUNTIFS(Questions!$R$2:$R$1000,"*;"&amp;$A17&amp;";*",Questions!$B$2:$B$1000,2023,Questions!$C$2:$C$1000,"Oct/Nov",Questions!$D$2:$D$1000,"9708/23")</f>
        <v>1</v>
      </c>
      <c r="X17" s="9" t="n">
        <f aca="false">COUNTIFS(Questions!$R$2:$R$1000,"*;"&amp;$A17&amp;";*",Questions!$B$2:$B$1000,2024,Questions!$C$2:$C$1000,"Feb/March",Questions!$D$2:$D$1000,"9708/22")</f>
        <v>2</v>
      </c>
      <c r="Y17" s="9" t="n">
        <f aca="false">COUNTIFS(Questions!$R$2:$R$1000,"*;"&amp;$A17&amp;";*",Questions!$B$2:$B$1000,2024,Questions!$C$2:$C$1000,"May/June",Questions!$D$2:$D$1000,"9708/21")</f>
        <v>0</v>
      </c>
      <c r="Z17" s="9" t="n">
        <f aca="false">COUNTIFS(Questions!$R$2:$R$1000,"*;"&amp;$A17&amp;";*",Questions!$B$2:$B$1000,2024,Questions!$C$2:$C$1000,"May/June",Questions!$D$2:$D$1000,"9708/22")</f>
        <v>2</v>
      </c>
      <c r="AA17" s="9" t="n">
        <f aca="false">COUNTIFS(Questions!$R$2:$R$1000,"*;"&amp;$A17&amp;";*",Questions!$B$2:$B$1000,2024,Questions!$C$2:$C$1000,"May/June",Questions!$D$2:$D$1000,"9708/23")</f>
        <v>0</v>
      </c>
      <c r="AB17" s="9" t="n">
        <f aca="false">COUNTIFS(Questions!$R$2:$R$1000,"*;"&amp;$A17&amp;";*",Questions!$B$2:$B$1000,2024,Questions!$C$2:$C$1000,"Oct/Nov",Questions!$D$2:$D$1000,"9708/21")</f>
        <v>2</v>
      </c>
      <c r="AC17" s="9" t="n">
        <f aca="false">COUNTIFS(Questions!$R$2:$R$1000,"*;"&amp;$A17&amp;";*",Questions!$B$2:$B$1000,2024,Questions!$C$2:$C$1000,"Oct/Nov",Questions!$D$2:$D$1000,"9708/22")</f>
        <v>0</v>
      </c>
      <c r="AD17" s="9" t="n">
        <f aca="false">COUNTIFS(Questions!$R$2:$R$1000,"*;"&amp;$A17&amp;";*",Questions!$B$2:$B$1000,2024,Questions!$C$2:$C$1000,"Oct/Nov",Questions!$D$2:$D$1000,"9708/23")</f>
        <v>2</v>
      </c>
      <c r="AE17" s="9" t="n">
        <f aca="false">COUNTIFS(Questions!$R$2:$R$1000,"*;"&amp;$A17&amp;";*",Questions!$B$2:$B$1000,2025,Questions!$C$2:$C$1000,"May/June",Questions!$D$2:$D$1000,"9708/21")</f>
        <v>2</v>
      </c>
      <c r="AF17" s="9" t="n">
        <f aca="false">COUNTIFS(Questions!$R$2:$R$1000,"*;"&amp;$A17&amp;";*",Questions!$B$2:$B$1000,2025,Questions!$C$2:$C$1000,"May/June",Questions!$D$2:$D$1000,"9708/22")</f>
        <v>2</v>
      </c>
      <c r="AG17" s="9" t="n">
        <f aca="false">COUNTIFS(Questions!$R$2:$R$1000,"*;"&amp;$A17&amp;";*",Questions!$B$2:$B$1000,2025,Questions!$C$2:$C$1000,"May/June",Questions!$D$2:$D$1000,"9708/23")</f>
        <v>3</v>
      </c>
      <c r="AH17" s="9" t="n">
        <f aca="false">COUNTIFS(Questions!$R$2:$R$1000,"*;"&amp;$A17&amp;";*",Questions!$B$2:$B$1000,2025,Questions!$C$2:$C$1000,"May/June",Questions!$D$2:$D$1000,"9708/24")</f>
        <v>3</v>
      </c>
      <c r="AI17" s="9" t="n">
        <f aca="false">COUNTIFS(Questions!$R$2:$R$1000,"*;"&amp;$A17&amp;";*",Questions!$B$2:$B$1000,2025,Questions!$C$2:$C$1000,"Oct/Nov",Questions!$D$2:$D$1000,"9708/21")</f>
        <v>2</v>
      </c>
      <c r="AJ17" s="9" t="n">
        <f aca="false">COUNTIFS(Questions!$R$2:$R$1000,"*;"&amp;$A17&amp;";*",Questions!$B$2:$B$1000,2025,Questions!$C$2:$C$1000,"Oct/Nov",Questions!$D$2:$D$1000,"9708/22")</f>
        <v>2</v>
      </c>
      <c r="AK17" s="9" t="n">
        <f aca="false">COUNTIFS(Questions!$R$2:$R$1000,"*;"&amp;$A17&amp;";*",Questions!$B$2:$B$1000,2025,Questions!$C$2:$C$1000,"Oct/Nov",Questions!$D$2:$D$1000,"9708/23")</f>
        <v>2</v>
      </c>
      <c r="AL17" s="9" t="n">
        <f aca="false">COUNTIFS(Questions!$R$2:$R$1000,"*;"&amp;$A17&amp;";*",Questions!$B$2:$B$1000,2025,Questions!$C$2:$C$1000,"Oct/Nov",Questions!$D$2:$D$1000,"9708/24")</f>
        <v>2</v>
      </c>
      <c r="AM17" s="9" t="n">
        <f aca="false">COUNTIFS(Questions!$R$2:$R$1000,"*;"&amp;$A17&amp;";*",Questions!$B$2:$B$1000,2026,Questions!$C$2:$C$1000,"May/June",Questions!$D$2:$D$1000,"9708/21")</f>
        <v>1</v>
      </c>
      <c r="AN17" s="9" t="n">
        <f aca="false">COUNTIFS(Questions!$R$2:$R$1000,"*;"&amp;$A17&amp;";*",Questions!$B$2:$B$1000,2026,Questions!$C$2:$C$1000,"May/June",Questions!$D$2:$D$1000,"9708/22")</f>
        <v>3</v>
      </c>
      <c r="AO17" s="9" t="n">
        <f aca="false">COUNTIFS(Questions!$R$2:$R$1000,"*;"&amp;$A17&amp;";*",Questions!$B$2:$B$1000,2026,Questions!$C$2:$C$1000,"May/June",Questions!$D$2:$D$1000,"9708/23")</f>
        <v>2</v>
      </c>
      <c r="AP17" s="9" t="n">
        <f aca="false">COUNTIFS(Questions!$R$2:$R$1000,"*;"&amp;$A17&amp;";*",Questions!$B$2:$B$1000,2026,Questions!$C$2:$C$1000,"May/June",Questions!$D$2:$D$1000,"9708/24")</f>
        <v>2</v>
      </c>
      <c r="AQ17" s="9" t="n">
        <f aca="false">SUM(C17:AP17)</f>
        <v>74</v>
      </c>
      <c r="AR17" s="9" t="n">
        <f aca="false">COUNTIF(Questions!$P$2:$P$1000,$A17)</f>
        <v>55</v>
      </c>
      <c r="AS17" s="9" t="n">
        <f aca="false">SUMIF(Questions!$P$2:$P$1000,$A17,Questions!$I$2:$I$1000)</f>
        <v>441</v>
      </c>
    </row>
    <row r="18" customFormat="false" ht="15" hidden="false" customHeight="false" outlineLevel="0" collapsed="false">
      <c r="A18" s="8" t="s">
        <v>1214</v>
      </c>
      <c r="B18" s="8" t="s">
        <v>1215</v>
      </c>
      <c r="C18" s="9" t="n">
        <f aca="false">COUNTIFS(Questions!$R$2:$R$1000,"*;"&amp;$A18&amp;";*",Questions!$B$2:$B$1000,2021,Questions!$C$2:$C$1000,"Feb/March",Questions!$D$2:$D$1000,"9708/22")</f>
        <v>0</v>
      </c>
      <c r="D18" s="9" t="n">
        <f aca="false">COUNTIFS(Questions!$R$2:$R$1000,"*;"&amp;$A18&amp;";*",Questions!$B$2:$B$1000,2021,Questions!$C$2:$C$1000,"May/June",Questions!$D$2:$D$1000,"9708/21")</f>
        <v>0</v>
      </c>
      <c r="E18" s="9" t="n">
        <f aca="false">COUNTIFS(Questions!$R$2:$R$1000,"*;"&amp;$A18&amp;";*",Questions!$B$2:$B$1000,2021,Questions!$C$2:$C$1000,"May/June",Questions!$D$2:$D$1000,"9708/22")</f>
        <v>0</v>
      </c>
      <c r="F18" s="9" t="n">
        <f aca="false">COUNTIFS(Questions!$R$2:$R$1000,"*;"&amp;$A18&amp;";*",Questions!$B$2:$B$1000,2021,Questions!$C$2:$C$1000,"May/June",Questions!$D$2:$D$1000,"9708/23")</f>
        <v>0</v>
      </c>
      <c r="G18" s="9" t="n">
        <f aca="false">COUNTIFS(Questions!$R$2:$R$1000,"*;"&amp;$A18&amp;";*",Questions!$B$2:$B$1000,2021,Questions!$C$2:$C$1000,"Oct/Nov",Questions!$D$2:$D$1000,"9708/21")</f>
        <v>1</v>
      </c>
      <c r="H18" s="9" t="n">
        <f aca="false">COUNTIFS(Questions!$R$2:$R$1000,"*;"&amp;$A18&amp;";*",Questions!$B$2:$B$1000,2021,Questions!$C$2:$C$1000,"Oct/Nov",Questions!$D$2:$D$1000,"9708/22")</f>
        <v>1</v>
      </c>
      <c r="I18" s="9" t="n">
        <f aca="false">COUNTIFS(Questions!$R$2:$R$1000,"*;"&amp;$A18&amp;";*",Questions!$B$2:$B$1000,2021,Questions!$C$2:$C$1000,"Oct/Nov",Questions!$D$2:$D$1000,"9708/23")</f>
        <v>0</v>
      </c>
      <c r="J18" s="9" t="n">
        <f aca="false">COUNTIFS(Questions!$R$2:$R$1000,"*;"&amp;$A18&amp;";*",Questions!$B$2:$B$1000,2022,Questions!$C$2:$C$1000,"Feb/March",Questions!$D$2:$D$1000,"9708/22")</f>
        <v>0</v>
      </c>
      <c r="K18" s="9" t="n">
        <f aca="false">COUNTIFS(Questions!$R$2:$R$1000,"*;"&amp;$A18&amp;";*",Questions!$B$2:$B$1000,2022,Questions!$C$2:$C$1000,"May/June",Questions!$D$2:$D$1000,"9708/21")</f>
        <v>0</v>
      </c>
      <c r="L18" s="9" t="n">
        <f aca="false">COUNTIFS(Questions!$R$2:$R$1000,"*;"&amp;$A18&amp;";*",Questions!$B$2:$B$1000,2022,Questions!$C$2:$C$1000,"May/June",Questions!$D$2:$D$1000,"9708/22")</f>
        <v>0</v>
      </c>
      <c r="M18" s="9" t="n">
        <f aca="false">COUNTIFS(Questions!$R$2:$R$1000,"*;"&amp;$A18&amp;";*",Questions!$B$2:$B$1000,2022,Questions!$C$2:$C$1000,"May/June",Questions!$D$2:$D$1000,"9708/23")</f>
        <v>0</v>
      </c>
      <c r="N18" s="9" t="n">
        <f aca="false">COUNTIFS(Questions!$R$2:$R$1000,"*;"&amp;$A18&amp;";*",Questions!$B$2:$B$1000,2022,Questions!$C$2:$C$1000,"Oct/Nov",Questions!$D$2:$D$1000,"9708/21")</f>
        <v>0</v>
      </c>
      <c r="O18" s="9" t="n">
        <f aca="false">COUNTIFS(Questions!$R$2:$R$1000,"*;"&amp;$A18&amp;";*",Questions!$B$2:$B$1000,2022,Questions!$C$2:$C$1000,"Oct/Nov",Questions!$D$2:$D$1000,"9708/22")</f>
        <v>1</v>
      </c>
      <c r="P18" s="9" t="n">
        <f aca="false">COUNTIFS(Questions!$R$2:$R$1000,"*;"&amp;$A18&amp;";*",Questions!$B$2:$B$1000,2022,Questions!$C$2:$C$1000,"Oct/Nov",Questions!$D$2:$D$1000,"9708/23")</f>
        <v>1</v>
      </c>
      <c r="Q18" s="9" t="n">
        <f aca="false">COUNTIFS(Questions!$R$2:$R$1000,"*;"&amp;$A18&amp;";*",Questions!$B$2:$B$1000,2023,Questions!$C$2:$C$1000,"Feb/March",Questions!$D$2:$D$1000,"9708/22")</f>
        <v>1</v>
      </c>
      <c r="R18" s="9" t="n">
        <f aca="false">COUNTIFS(Questions!$R$2:$R$1000,"*;"&amp;$A18&amp;";*",Questions!$B$2:$B$1000,2023,Questions!$C$2:$C$1000,"May/June",Questions!$D$2:$D$1000,"9708/21")</f>
        <v>0</v>
      </c>
      <c r="S18" s="9" t="n">
        <f aca="false">COUNTIFS(Questions!$R$2:$R$1000,"*;"&amp;$A18&amp;";*",Questions!$B$2:$B$1000,2023,Questions!$C$2:$C$1000,"May/June",Questions!$D$2:$D$1000,"9708/22")</f>
        <v>1</v>
      </c>
      <c r="T18" s="9" t="n">
        <f aca="false">COUNTIFS(Questions!$R$2:$R$1000,"*;"&amp;$A18&amp;";*",Questions!$B$2:$B$1000,2023,Questions!$C$2:$C$1000,"May/June",Questions!$D$2:$D$1000,"9708/23")</f>
        <v>0</v>
      </c>
      <c r="U18" s="9" t="n">
        <f aca="false">COUNTIFS(Questions!$R$2:$R$1000,"*;"&amp;$A18&amp;";*",Questions!$B$2:$B$1000,2023,Questions!$C$2:$C$1000,"Oct/Nov",Questions!$D$2:$D$1000,"9708/21")</f>
        <v>1</v>
      </c>
      <c r="V18" s="9" t="n">
        <f aca="false">COUNTIFS(Questions!$R$2:$R$1000,"*;"&amp;$A18&amp;";*",Questions!$B$2:$B$1000,2023,Questions!$C$2:$C$1000,"Oct/Nov",Questions!$D$2:$D$1000,"9708/22")</f>
        <v>0</v>
      </c>
      <c r="W18" s="9" t="n">
        <f aca="false">COUNTIFS(Questions!$R$2:$R$1000,"*;"&amp;$A18&amp;";*",Questions!$B$2:$B$1000,2023,Questions!$C$2:$C$1000,"Oct/Nov",Questions!$D$2:$D$1000,"9708/23")</f>
        <v>0</v>
      </c>
      <c r="X18" s="9" t="n">
        <f aca="false">COUNTIFS(Questions!$R$2:$R$1000,"*;"&amp;$A18&amp;";*",Questions!$B$2:$B$1000,2024,Questions!$C$2:$C$1000,"Feb/March",Questions!$D$2:$D$1000,"9708/22")</f>
        <v>0</v>
      </c>
      <c r="Y18" s="9" t="n">
        <f aca="false">COUNTIFS(Questions!$R$2:$R$1000,"*;"&amp;$A18&amp;";*",Questions!$B$2:$B$1000,2024,Questions!$C$2:$C$1000,"May/June",Questions!$D$2:$D$1000,"9708/21")</f>
        <v>0</v>
      </c>
      <c r="Z18" s="9" t="n">
        <f aca="false">COUNTIFS(Questions!$R$2:$R$1000,"*;"&amp;$A18&amp;";*",Questions!$B$2:$B$1000,2024,Questions!$C$2:$C$1000,"May/June",Questions!$D$2:$D$1000,"9708/22")</f>
        <v>3</v>
      </c>
      <c r="AA18" s="9" t="n">
        <f aca="false">COUNTIFS(Questions!$R$2:$R$1000,"*;"&amp;$A18&amp;";*",Questions!$B$2:$B$1000,2024,Questions!$C$2:$C$1000,"May/June",Questions!$D$2:$D$1000,"9708/23")</f>
        <v>0</v>
      </c>
      <c r="AB18" s="9" t="n">
        <f aca="false">COUNTIFS(Questions!$R$2:$R$1000,"*;"&amp;$A18&amp;";*",Questions!$B$2:$B$1000,2024,Questions!$C$2:$C$1000,"Oct/Nov",Questions!$D$2:$D$1000,"9708/21")</f>
        <v>0</v>
      </c>
      <c r="AC18" s="9" t="n">
        <f aca="false">COUNTIFS(Questions!$R$2:$R$1000,"*;"&amp;$A18&amp;";*",Questions!$B$2:$B$1000,2024,Questions!$C$2:$C$1000,"Oct/Nov",Questions!$D$2:$D$1000,"9708/22")</f>
        <v>2</v>
      </c>
      <c r="AD18" s="9" t="n">
        <f aca="false">COUNTIFS(Questions!$R$2:$R$1000,"*;"&amp;$A18&amp;";*",Questions!$B$2:$B$1000,2024,Questions!$C$2:$C$1000,"Oct/Nov",Questions!$D$2:$D$1000,"9708/23")</f>
        <v>3</v>
      </c>
      <c r="AE18" s="9" t="n">
        <f aca="false">COUNTIFS(Questions!$R$2:$R$1000,"*;"&amp;$A18&amp;";*",Questions!$B$2:$B$1000,2025,Questions!$C$2:$C$1000,"May/June",Questions!$D$2:$D$1000,"9708/21")</f>
        <v>0</v>
      </c>
      <c r="AF18" s="9" t="n">
        <f aca="false">COUNTIFS(Questions!$R$2:$R$1000,"*;"&amp;$A18&amp;";*",Questions!$B$2:$B$1000,2025,Questions!$C$2:$C$1000,"May/June",Questions!$D$2:$D$1000,"9708/22")</f>
        <v>1</v>
      </c>
      <c r="AG18" s="9" t="n">
        <f aca="false">COUNTIFS(Questions!$R$2:$R$1000,"*;"&amp;$A18&amp;";*",Questions!$B$2:$B$1000,2025,Questions!$C$2:$C$1000,"May/June",Questions!$D$2:$D$1000,"9708/23")</f>
        <v>2</v>
      </c>
      <c r="AH18" s="9" t="n">
        <f aca="false">COUNTIFS(Questions!$R$2:$R$1000,"*;"&amp;$A18&amp;";*",Questions!$B$2:$B$1000,2025,Questions!$C$2:$C$1000,"May/June",Questions!$D$2:$D$1000,"9708/24")</f>
        <v>1</v>
      </c>
      <c r="AI18" s="9" t="n">
        <f aca="false">COUNTIFS(Questions!$R$2:$R$1000,"*;"&amp;$A18&amp;";*",Questions!$B$2:$B$1000,2025,Questions!$C$2:$C$1000,"Oct/Nov",Questions!$D$2:$D$1000,"9708/21")</f>
        <v>0</v>
      </c>
      <c r="AJ18" s="9" t="n">
        <f aca="false">COUNTIFS(Questions!$R$2:$R$1000,"*;"&amp;$A18&amp;";*",Questions!$B$2:$B$1000,2025,Questions!$C$2:$C$1000,"Oct/Nov",Questions!$D$2:$D$1000,"9708/22")</f>
        <v>1</v>
      </c>
      <c r="AK18" s="9" t="n">
        <f aca="false">COUNTIFS(Questions!$R$2:$R$1000,"*;"&amp;$A18&amp;";*",Questions!$B$2:$B$1000,2025,Questions!$C$2:$C$1000,"Oct/Nov",Questions!$D$2:$D$1000,"9708/23")</f>
        <v>2</v>
      </c>
      <c r="AL18" s="9" t="n">
        <f aca="false">COUNTIFS(Questions!$R$2:$R$1000,"*;"&amp;$A18&amp;";*",Questions!$B$2:$B$1000,2025,Questions!$C$2:$C$1000,"Oct/Nov",Questions!$D$2:$D$1000,"9708/24")</f>
        <v>0</v>
      </c>
      <c r="AM18" s="9" t="n">
        <f aca="false">COUNTIFS(Questions!$R$2:$R$1000,"*;"&amp;$A18&amp;";*",Questions!$B$2:$B$1000,2026,Questions!$C$2:$C$1000,"May/June",Questions!$D$2:$D$1000,"9708/21")</f>
        <v>2</v>
      </c>
      <c r="AN18" s="9" t="n">
        <f aca="false">COUNTIFS(Questions!$R$2:$R$1000,"*;"&amp;$A18&amp;";*",Questions!$B$2:$B$1000,2026,Questions!$C$2:$C$1000,"May/June",Questions!$D$2:$D$1000,"9708/22")</f>
        <v>0</v>
      </c>
      <c r="AO18" s="9" t="n">
        <f aca="false">COUNTIFS(Questions!$R$2:$R$1000,"*;"&amp;$A18&amp;";*",Questions!$B$2:$B$1000,2026,Questions!$C$2:$C$1000,"May/June",Questions!$D$2:$D$1000,"9708/23")</f>
        <v>1</v>
      </c>
      <c r="AP18" s="9" t="n">
        <f aca="false">COUNTIFS(Questions!$R$2:$R$1000,"*;"&amp;$A18&amp;";*",Questions!$B$2:$B$1000,2026,Questions!$C$2:$C$1000,"May/June",Questions!$D$2:$D$1000,"9708/24")</f>
        <v>1</v>
      </c>
      <c r="AQ18" s="9" t="n">
        <f aca="false">SUM(C18:AP18)</f>
        <v>26</v>
      </c>
      <c r="AR18" s="9" t="n">
        <f aca="false">COUNTIF(Questions!$P$2:$P$1000,$A18)</f>
        <v>14</v>
      </c>
      <c r="AS18" s="9" t="n">
        <f aca="false">SUMIF(Questions!$P$2:$P$1000,$A18,Questions!$I$2:$I$1000)</f>
        <v>126</v>
      </c>
    </row>
    <row r="19" customFormat="false" ht="15" hidden="false" customHeight="false" outlineLevel="0" collapsed="false">
      <c r="A19" s="8" t="s">
        <v>3406</v>
      </c>
      <c r="B19" s="8" t="s">
        <v>3407</v>
      </c>
      <c r="C19" s="9" t="n">
        <f aca="false">COUNTIFS(Questions!$R$2:$R$1000,"*;"&amp;$A19&amp;";*",Questions!$B$2:$B$1000,2021,Questions!$C$2:$C$1000,"Feb/March",Questions!$D$2:$D$1000,"9708/22")</f>
        <v>0</v>
      </c>
      <c r="D19" s="9" t="n">
        <f aca="false">COUNTIFS(Questions!$R$2:$R$1000,"*;"&amp;$A19&amp;";*",Questions!$B$2:$B$1000,2021,Questions!$C$2:$C$1000,"May/June",Questions!$D$2:$D$1000,"9708/21")</f>
        <v>0</v>
      </c>
      <c r="E19" s="9" t="n">
        <f aca="false">COUNTIFS(Questions!$R$2:$R$1000,"*;"&amp;$A19&amp;";*",Questions!$B$2:$B$1000,2021,Questions!$C$2:$C$1000,"May/June",Questions!$D$2:$D$1000,"9708/22")</f>
        <v>0</v>
      </c>
      <c r="F19" s="9" t="n">
        <f aca="false">COUNTIFS(Questions!$R$2:$R$1000,"*;"&amp;$A19&amp;";*",Questions!$B$2:$B$1000,2021,Questions!$C$2:$C$1000,"May/June",Questions!$D$2:$D$1000,"9708/23")</f>
        <v>0</v>
      </c>
      <c r="G19" s="9" t="n">
        <f aca="false">COUNTIFS(Questions!$R$2:$R$1000,"*;"&amp;$A19&amp;";*",Questions!$B$2:$B$1000,2021,Questions!$C$2:$C$1000,"Oct/Nov",Questions!$D$2:$D$1000,"9708/21")</f>
        <v>0</v>
      </c>
      <c r="H19" s="9" t="n">
        <f aca="false">COUNTIFS(Questions!$R$2:$R$1000,"*;"&amp;$A19&amp;";*",Questions!$B$2:$B$1000,2021,Questions!$C$2:$C$1000,"Oct/Nov",Questions!$D$2:$D$1000,"9708/22")</f>
        <v>0</v>
      </c>
      <c r="I19" s="9" t="n">
        <f aca="false">COUNTIFS(Questions!$R$2:$R$1000,"*;"&amp;$A19&amp;";*",Questions!$B$2:$B$1000,2021,Questions!$C$2:$C$1000,"Oct/Nov",Questions!$D$2:$D$1000,"9708/23")</f>
        <v>0</v>
      </c>
      <c r="J19" s="9" t="n">
        <f aca="false">COUNTIFS(Questions!$R$2:$R$1000,"*;"&amp;$A19&amp;";*",Questions!$B$2:$B$1000,2022,Questions!$C$2:$C$1000,"Feb/March",Questions!$D$2:$D$1000,"9708/22")</f>
        <v>0</v>
      </c>
      <c r="K19" s="9" t="n">
        <f aca="false">COUNTIFS(Questions!$R$2:$R$1000,"*;"&amp;$A19&amp;";*",Questions!$B$2:$B$1000,2022,Questions!$C$2:$C$1000,"May/June",Questions!$D$2:$D$1000,"9708/21")</f>
        <v>0</v>
      </c>
      <c r="L19" s="9" t="n">
        <f aca="false">COUNTIFS(Questions!$R$2:$R$1000,"*;"&amp;$A19&amp;";*",Questions!$B$2:$B$1000,2022,Questions!$C$2:$C$1000,"May/June",Questions!$D$2:$D$1000,"9708/22")</f>
        <v>0</v>
      </c>
      <c r="M19" s="9" t="n">
        <f aca="false">COUNTIFS(Questions!$R$2:$R$1000,"*;"&amp;$A19&amp;";*",Questions!$B$2:$B$1000,2022,Questions!$C$2:$C$1000,"May/June",Questions!$D$2:$D$1000,"9708/23")</f>
        <v>0</v>
      </c>
      <c r="N19" s="9" t="n">
        <f aca="false">COUNTIFS(Questions!$R$2:$R$1000,"*;"&amp;$A19&amp;";*",Questions!$B$2:$B$1000,2022,Questions!$C$2:$C$1000,"Oct/Nov",Questions!$D$2:$D$1000,"9708/21")</f>
        <v>0</v>
      </c>
      <c r="O19" s="9" t="n">
        <f aca="false">COUNTIFS(Questions!$R$2:$R$1000,"*;"&amp;$A19&amp;";*",Questions!$B$2:$B$1000,2022,Questions!$C$2:$C$1000,"Oct/Nov",Questions!$D$2:$D$1000,"9708/22")</f>
        <v>0</v>
      </c>
      <c r="P19" s="9" t="n">
        <f aca="false">COUNTIFS(Questions!$R$2:$R$1000,"*;"&amp;$A19&amp;";*",Questions!$B$2:$B$1000,2022,Questions!$C$2:$C$1000,"Oct/Nov",Questions!$D$2:$D$1000,"9708/23")</f>
        <v>0</v>
      </c>
      <c r="Q19" s="9" t="n">
        <f aca="false">COUNTIFS(Questions!$R$2:$R$1000,"*;"&amp;$A19&amp;";*",Questions!$B$2:$B$1000,2023,Questions!$C$2:$C$1000,"Feb/March",Questions!$D$2:$D$1000,"9708/22")</f>
        <v>0</v>
      </c>
      <c r="R19" s="9" t="n">
        <f aca="false">COUNTIFS(Questions!$R$2:$R$1000,"*;"&amp;$A19&amp;";*",Questions!$B$2:$B$1000,2023,Questions!$C$2:$C$1000,"May/June",Questions!$D$2:$D$1000,"9708/21")</f>
        <v>0</v>
      </c>
      <c r="S19" s="9" t="n">
        <f aca="false">COUNTIFS(Questions!$R$2:$R$1000,"*;"&amp;$A19&amp;";*",Questions!$B$2:$B$1000,2023,Questions!$C$2:$C$1000,"May/June",Questions!$D$2:$D$1000,"9708/22")</f>
        <v>0</v>
      </c>
      <c r="T19" s="9" t="n">
        <f aca="false">COUNTIFS(Questions!$R$2:$R$1000,"*;"&amp;$A19&amp;";*",Questions!$B$2:$B$1000,2023,Questions!$C$2:$C$1000,"May/June",Questions!$D$2:$D$1000,"9708/23")</f>
        <v>0</v>
      </c>
      <c r="U19" s="9" t="n">
        <f aca="false">COUNTIFS(Questions!$R$2:$R$1000,"*;"&amp;$A19&amp;";*",Questions!$B$2:$B$1000,2023,Questions!$C$2:$C$1000,"Oct/Nov",Questions!$D$2:$D$1000,"9708/21")</f>
        <v>0</v>
      </c>
      <c r="V19" s="9" t="n">
        <f aca="false">COUNTIFS(Questions!$R$2:$R$1000,"*;"&amp;$A19&amp;";*",Questions!$B$2:$B$1000,2023,Questions!$C$2:$C$1000,"Oct/Nov",Questions!$D$2:$D$1000,"9708/22")</f>
        <v>0</v>
      </c>
      <c r="W19" s="9" t="n">
        <f aca="false">COUNTIFS(Questions!$R$2:$R$1000,"*;"&amp;$A19&amp;";*",Questions!$B$2:$B$1000,2023,Questions!$C$2:$C$1000,"Oct/Nov",Questions!$D$2:$D$1000,"9708/23")</f>
        <v>0</v>
      </c>
      <c r="X19" s="9" t="n">
        <f aca="false">COUNTIFS(Questions!$R$2:$R$1000,"*;"&amp;$A19&amp;";*",Questions!$B$2:$B$1000,2024,Questions!$C$2:$C$1000,"Feb/March",Questions!$D$2:$D$1000,"9708/22")</f>
        <v>0</v>
      </c>
      <c r="Y19" s="9" t="n">
        <f aca="false">COUNTIFS(Questions!$R$2:$R$1000,"*;"&amp;$A19&amp;";*",Questions!$B$2:$B$1000,2024,Questions!$C$2:$C$1000,"May/June",Questions!$D$2:$D$1000,"9708/21")</f>
        <v>0</v>
      </c>
      <c r="Z19" s="9" t="n">
        <f aca="false">COUNTIFS(Questions!$R$2:$R$1000,"*;"&amp;$A19&amp;";*",Questions!$B$2:$B$1000,2024,Questions!$C$2:$C$1000,"May/June",Questions!$D$2:$D$1000,"9708/22")</f>
        <v>0</v>
      </c>
      <c r="AA19" s="9" t="n">
        <f aca="false">COUNTIFS(Questions!$R$2:$R$1000,"*;"&amp;$A19&amp;";*",Questions!$B$2:$B$1000,2024,Questions!$C$2:$C$1000,"May/June",Questions!$D$2:$D$1000,"9708/23")</f>
        <v>0</v>
      </c>
      <c r="AB19" s="9" t="n">
        <f aca="false">COUNTIFS(Questions!$R$2:$R$1000,"*;"&amp;$A19&amp;";*",Questions!$B$2:$B$1000,2024,Questions!$C$2:$C$1000,"Oct/Nov",Questions!$D$2:$D$1000,"9708/21")</f>
        <v>0</v>
      </c>
      <c r="AC19" s="9" t="n">
        <f aca="false">COUNTIFS(Questions!$R$2:$R$1000,"*;"&amp;$A19&amp;";*",Questions!$B$2:$B$1000,2024,Questions!$C$2:$C$1000,"Oct/Nov",Questions!$D$2:$D$1000,"9708/22")</f>
        <v>0</v>
      </c>
      <c r="AD19" s="9" t="n">
        <f aca="false">COUNTIFS(Questions!$R$2:$R$1000,"*;"&amp;$A19&amp;";*",Questions!$B$2:$B$1000,2024,Questions!$C$2:$C$1000,"Oct/Nov",Questions!$D$2:$D$1000,"9708/23")</f>
        <v>0</v>
      </c>
      <c r="AE19" s="9" t="n">
        <f aca="false">COUNTIFS(Questions!$R$2:$R$1000,"*;"&amp;$A19&amp;";*",Questions!$B$2:$B$1000,2025,Questions!$C$2:$C$1000,"May/June",Questions!$D$2:$D$1000,"9708/21")</f>
        <v>0</v>
      </c>
      <c r="AF19" s="9" t="n">
        <f aca="false">COUNTIFS(Questions!$R$2:$R$1000,"*;"&amp;$A19&amp;";*",Questions!$B$2:$B$1000,2025,Questions!$C$2:$C$1000,"May/June",Questions!$D$2:$D$1000,"9708/22")</f>
        <v>0</v>
      </c>
      <c r="AG19" s="9" t="n">
        <f aca="false">COUNTIFS(Questions!$R$2:$R$1000,"*;"&amp;$A19&amp;";*",Questions!$B$2:$B$1000,2025,Questions!$C$2:$C$1000,"May/June",Questions!$D$2:$D$1000,"9708/23")</f>
        <v>0</v>
      </c>
      <c r="AH19" s="9" t="n">
        <f aca="false">COUNTIFS(Questions!$R$2:$R$1000,"*;"&amp;$A19&amp;";*",Questions!$B$2:$B$1000,2025,Questions!$C$2:$C$1000,"May/June",Questions!$D$2:$D$1000,"9708/24")</f>
        <v>0</v>
      </c>
      <c r="AI19" s="9" t="n">
        <f aca="false">COUNTIFS(Questions!$R$2:$R$1000,"*;"&amp;$A19&amp;";*",Questions!$B$2:$B$1000,2025,Questions!$C$2:$C$1000,"Oct/Nov",Questions!$D$2:$D$1000,"9708/21")</f>
        <v>0</v>
      </c>
      <c r="AJ19" s="9" t="n">
        <f aca="false">COUNTIFS(Questions!$R$2:$R$1000,"*;"&amp;$A19&amp;";*",Questions!$B$2:$B$1000,2025,Questions!$C$2:$C$1000,"Oct/Nov",Questions!$D$2:$D$1000,"9708/22")</f>
        <v>0</v>
      </c>
      <c r="AK19" s="9" t="n">
        <f aca="false">COUNTIFS(Questions!$R$2:$R$1000,"*;"&amp;$A19&amp;";*",Questions!$B$2:$B$1000,2025,Questions!$C$2:$C$1000,"Oct/Nov",Questions!$D$2:$D$1000,"9708/23")</f>
        <v>0</v>
      </c>
      <c r="AL19" s="9" t="n">
        <f aca="false">COUNTIFS(Questions!$R$2:$R$1000,"*;"&amp;$A19&amp;";*",Questions!$B$2:$B$1000,2025,Questions!$C$2:$C$1000,"Oct/Nov",Questions!$D$2:$D$1000,"9708/24")</f>
        <v>0</v>
      </c>
      <c r="AM19" s="9" t="n">
        <f aca="false">COUNTIFS(Questions!$R$2:$R$1000,"*;"&amp;$A19&amp;";*",Questions!$B$2:$B$1000,2026,Questions!$C$2:$C$1000,"May/June",Questions!$D$2:$D$1000,"9708/21")</f>
        <v>0</v>
      </c>
      <c r="AN19" s="9" t="n">
        <f aca="false">COUNTIFS(Questions!$R$2:$R$1000,"*;"&amp;$A19&amp;";*",Questions!$B$2:$B$1000,2026,Questions!$C$2:$C$1000,"May/June",Questions!$D$2:$D$1000,"9708/22")</f>
        <v>0</v>
      </c>
      <c r="AO19" s="9" t="n">
        <f aca="false">COUNTIFS(Questions!$R$2:$R$1000,"*;"&amp;$A19&amp;";*",Questions!$B$2:$B$1000,2026,Questions!$C$2:$C$1000,"May/June",Questions!$D$2:$D$1000,"9708/23")</f>
        <v>0</v>
      </c>
      <c r="AP19" s="9" t="n">
        <f aca="false">COUNTIFS(Questions!$R$2:$R$1000,"*;"&amp;$A19&amp;";*",Questions!$B$2:$B$1000,2026,Questions!$C$2:$C$1000,"May/June",Questions!$D$2:$D$1000,"9708/24")</f>
        <v>0</v>
      </c>
      <c r="AQ19" s="9" t="n">
        <f aca="false">SUM(C19:AP19)</f>
        <v>0</v>
      </c>
      <c r="AR19" s="9" t="n">
        <f aca="false">COUNTIF(Questions!$P$2:$P$1000,$A19)</f>
        <v>0</v>
      </c>
      <c r="AS19" s="9" t="n">
        <f aca="false">SUMIF(Questions!$P$2:$P$1000,$A19,Questions!$I$2:$I$1000)</f>
        <v>0</v>
      </c>
    </row>
    <row r="20" customFormat="false" ht="15" hidden="false" customHeight="false" outlineLevel="0" collapsed="false">
      <c r="A20" s="8" t="s">
        <v>1232</v>
      </c>
      <c r="B20" s="8" t="s">
        <v>1233</v>
      </c>
      <c r="C20" s="9" t="n">
        <f aca="false">COUNTIFS(Questions!$R$2:$R$1000,"*;"&amp;$A20&amp;";*",Questions!$B$2:$B$1000,2021,Questions!$C$2:$C$1000,"Feb/March",Questions!$D$2:$D$1000,"9708/22")</f>
        <v>0</v>
      </c>
      <c r="D20" s="9" t="n">
        <f aca="false">COUNTIFS(Questions!$R$2:$R$1000,"*;"&amp;$A20&amp;";*",Questions!$B$2:$B$1000,2021,Questions!$C$2:$C$1000,"May/June",Questions!$D$2:$D$1000,"9708/21")</f>
        <v>0</v>
      </c>
      <c r="E20" s="9" t="n">
        <f aca="false">COUNTIFS(Questions!$R$2:$R$1000,"*;"&amp;$A20&amp;";*",Questions!$B$2:$B$1000,2021,Questions!$C$2:$C$1000,"May/June",Questions!$D$2:$D$1000,"9708/22")</f>
        <v>0</v>
      </c>
      <c r="F20" s="9" t="n">
        <f aca="false">COUNTIFS(Questions!$R$2:$R$1000,"*;"&amp;$A20&amp;";*",Questions!$B$2:$B$1000,2021,Questions!$C$2:$C$1000,"May/June",Questions!$D$2:$D$1000,"9708/23")</f>
        <v>0</v>
      </c>
      <c r="G20" s="9" t="n">
        <f aca="false">COUNTIFS(Questions!$R$2:$R$1000,"*;"&amp;$A20&amp;";*",Questions!$B$2:$B$1000,2021,Questions!$C$2:$C$1000,"Oct/Nov",Questions!$D$2:$D$1000,"9708/21")</f>
        <v>0</v>
      </c>
      <c r="H20" s="9" t="n">
        <f aca="false">COUNTIFS(Questions!$R$2:$R$1000,"*;"&amp;$A20&amp;";*",Questions!$B$2:$B$1000,2021,Questions!$C$2:$C$1000,"Oct/Nov",Questions!$D$2:$D$1000,"9708/22")</f>
        <v>0</v>
      </c>
      <c r="I20" s="9" t="n">
        <f aca="false">COUNTIFS(Questions!$R$2:$R$1000,"*;"&amp;$A20&amp;";*",Questions!$B$2:$B$1000,2021,Questions!$C$2:$C$1000,"Oct/Nov",Questions!$D$2:$D$1000,"9708/23")</f>
        <v>0</v>
      </c>
      <c r="J20" s="9" t="n">
        <f aca="false">COUNTIFS(Questions!$R$2:$R$1000,"*;"&amp;$A20&amp;";*",Questions!$B$2:$B$1000,2022,Questions!$C$2:$C$1000,"Feb/March",Questions!$D$2:$D$1000,"9708/22")</f>
        <v>0</v>
      </c>
      <c r="K20" s="9" t="n">
        <f aca="false">COUNTIFS(Questions!$R$2:$R$1000,"*;"&amp;$A20&amp;";*",Questions!$B$2:$B$1000,2022,Questions!$C$2:$C$1000,"May/June",Questions!$D$2:$D$1000,"9708/21")</f>
        <v>0</v>
      </c>
      <c r="L20" s="9" t="n">
        <f aca="false">COUNTIFS(Questions!$R$2:$R$1000,"*;"&amp;$A20&amp;";*",Questions!$B$2:$B$1000,2022,Questions!$C$2:$C$1000,"May/June",Questions!$D$2:$D$1000,"9708/22")</f>
        <v>0</v>
      </c>
      <c r="M20" s="9" t="n">
        <f aca="false">COUNTIFS(Questions!$R$2:$R$1000,"*;"&amp;$A20&amp;";*",Questions!$B$2:$B$1000,2022,Questions!$C$2:$C$1000,"May/June",Questions!$D$2:$D$1000,"9708/23")</f>
        <v>0</v>
      </c>
      <c r="N20" s="9" t="n">
        <f aca="false">COUNTIFS(Questions!$R$2:$R$1000,"*;"&amp;$A20&amp;";*",Questions!$B$2:$B$1000,2022,Questions!$C$2:$C$1000,"Oct/Nov",Questions!$D$2:$D$1000,"9708/21")</f>
        <v>0</v>
      </c>
      <c r="O20" s="9" t="n">
        <f aca="false">COUNTIFS(Questions!$R$2:$R$1000,"*;"&amp;$A20&amp;";*",Questions!$B$2:$B$1000,2022,Questions!$C$2:$C$1000,"Oct/Nov",Questions!$D$2:$D$1000,"9708/22")</f>
        <v>0</v>
      </c>
      <c r="P20" s="9" t="n">
        <f aca="false">COUNTIFS(Questions!$R$2:$R$1000,"*;"&amp;$A20&amp;";*",Questions!$B$2:$B$1000,2022,Questions!$C$2:$C$1000,"Oct/Nov",Questions!$D$2:$D$1000,"9708/23")</f>
        <v>0</v>
      </c>
      <c r="Q20" s="9" t="n">
        <f aca="false">COUNTIFS(Questions!$R$2:$R$1000,"*;"&amp;$A20&amp;";*",Questions!$B$2:$B$1000,2023,Questions!$C$2:$C$1000,"Feb/March",Questions!$D$2:$D$1000,"9708/22")</f>
        <v>1</v>
      </c>
      <c r="R20" s="9" t="n">
        <f aca="false">COUNTIFS(Questions!$R$2:$R$1000,"*;"&amp;$A20&amp;";*",Questions!$B$2:$B$1000,2023,Questions!$C$2:$C$1000,"May/June",Questions!$D$2:$D$1000,"9708/21")</f>
        <v>0</v>
      </c>
      <c r="S20" s="9" t="n">
        <f aca="false">COUNTIFS(Questions!$R$2:$R$1000,"*;"&amp;$A20&amp;";*",Questions!$B$2:$B$1000,2023,Questions!$C$2:$C$1000,"May/June",Questions!$D$2:$D$1000,"9708/22")</f>
        <v>0</v>
      </c>
      <c r="T20" s="9" t="n">
        <f aca="false">COUNTIFS(Questions!$R$2:$R$1000,"*;"&amp;$A20&amp;";*",Questions!$B$2:$B$1000,2023,Questions!$C$2:$C$1000,"May/June",Questions!$D$2:$D$1000,"9708/23")</f>
        <v>2</v>
      </c>
      <c r="U20" s="9" t="n">
        <f aca="false">COUNTIFS(Questions!$R$2:$R$1000,"*;"&amp;$A20&amp;";*",Questions!$B$2:$B$1000,2023,Questions!$C$2:$C$1000,"Oct/Nov",Questions!$D$2:$D$1000,"9708/21")</f>
        <v>0</v>
      </c>
      <c r="V20" s="9" t="n">
        <f aca="false">COUNTIFS(Questions!$R$2:$R$1000,"*;"&amp;$A20&amp;";*",Questions!$B$2:$B$1000,2023,Questions!$C$2:$C$1000,"Oct/Nov",Questions!$D$2:$D$1000,"9708/22")</f>
        <v>0</v>
      </c>
      <c r="W20" s="9" t="n">
        <f aca="false">COUNTIFS(Questions!$R$2:$R$1000,"*;"&amp;$A20&amp;";*",Questions!$B$2:$B$1000,2023,Questions!$C$2:$C$1000,"Oct/Nov",Questions!$D$2:$D$1000,"9708/23")</f>
        <v>0</v>
      </c>
      <c r="X20" s="9" t="n">
        <f aca="false">COUNTIFS(Questions!$R$2:$R$1000,"*;"&amp;$A20&amp;";*",Questions!$B$2:$B$1000,2024,Questions!$C$2:$C$1000,"Feb/March",Questions!$D$2:$D$1000,"9708/22")</f>
        <v>0</v>
      </c>
      <c r="Y20" s="9" t="n">
        <f aca="false">COUNTIFS(Questions!$R$2:$R$1000,"*;"&amp;$A20&amp;";*",Questions!$B$2:$B$1000,2024,Questions!$C$2:$C$1000,"May/June",Questions!$D$2:$D$1000,"9708/21")</f>
        <v>0</v>
      </c>
      <c r="Z20" s="9" t="n">
        <f aca="false">COUNTIFS(Questions!$R$2:$R$1000,"*;"&amp;$A20&amp;";*",Questions!$B$2:$B$1000,2024,Questions!$C$2:$C$1000,"May/June",Questions!$D$2:$D$1000,"9708/22")</f>
        <v>1</v>
      </c>
      <c r="AA20" s="9" t="n">
        <f aca="false">COUNTIFS(Questions!$R$2:$R$1000,"*;"&amp;$A20&amp;";*",Questions!$B$2:$B$1000,2024,Questions!$C$2:$C$1000,"May/June",Questions!$D$2:$D$1000,"9708/23")</f>
        <v>0</v>
      </c>
      <c r="AB20" s="9" t="n">
        <f aca="false">COUNTIFS(Questions!$R$2:$R$1000,"*;"&amp;$A20&amp;";*",Questions!$B$2:$B$1000,2024,Questions!$C$2:$C$1000,"Oct/Nov",Questions!$D$2:$D$1000,"9708/21")</f>
        <v>0</v>
      </c>
      <c r="AC20" s="9" t="n">
        <f aca="false">COUNTIFS(Questions!$R$2:$R$1000,"*;"&amp;$A20&amp;";*",Questions!$B$2:$B$1000,2024,Questions!$C$2:$C$1000,"Oct/Nov",Questions!$D$2:$D$1000,"9708/22")</f>
        <v>0</v>
      </c>
      <c r="AD20" s="9" t="n">
        <f aca="false">COUNTIFS(Questions!$R$2:$R$1000,"*;"&amp;$A20&amp;";*",Questions!$B$2:$B$1000,2024,Questions!$C$2:$C$1000,"Oct/Nov",Questions!$D$2:$D$1000,"9708/23")</f>
        <v>0</v>
      </c>
      <c r="AE20" s="9" t="n">
        <f aca="false">COUNTIFS(Questions!$R$2:$R$1000,"*;"&amp;$A20&amp;";*",Questions!$B$2:$B$1000,2025,Questions!$C$2:$C$1000,"May/June",Questions!$D$2:$D$1000,"9708/21")</f>
        <v>1</v>
      </c>
      <c r="AF20" s="9" t="n">
        <f aca="false">COUNTIFS(Questions!$R$2:$R$1000,"*;"&amp;$A20&amp;";*",Questions!$B$2:$B$1000,2025,Questions!$C$2:$C$1000,"May/June",Questions!$D$2:$D$1000,"9708/22")</f>
        <v>0</v>
      </c>
      <c r="AG20" s="9" t="n">
        <f aca="false">COUNTIFS(Questions!$R$2:$R$1000,"*;"&amp;$A20&amp;";*",Questions!$B$2:$B$1000,2025,Questions!$C$2:$C$1000,"May/June",Questions!$D$2:$D$1000,"9708/23")</f>
        <v>0</v>
      </c>
      <c r="AH20" s="9" t="n">
        <f aca="false">COUNTIFS(Questions!$R$2:$R$1000,"*;"&amp;$A20&amp;";*",Questions!$B$2:$B$1000,2025,Questions!$C$2:$C$1000,"May/June",Questions!$D$2:$D$1000,"9708/24")</f>
        <v>0</v>
      </c>
      <c r="AI20" s="9" t="n">
        <f aca="false">COUNTIFS(Questions!$R$2:$R$1000,"*;"&amp;$A20&amp;";*",Questions!$B$2:$B$1000,2025,Questions!$C$2:$C$1000,"Oct/Nov",Questions!$D$2:$D$1000,"9708/21")</f>
        <v>0</v>
      </c>
      <c r="AJ20" s="9" t="n">
        <f aca="false">COUNTIFS(Questions!$R$2:$R$1000,"*;"&amp;$A20&amp;";*",Questions!$B$2:$B$1000,2025,Questions!$C$2:$C$1000,"Oct/Nov",Questions!$D$2:$D$1000,"9708/22")</f>
        <v>0</v>
      </c>
      <c r="AK20" s="9" t="n">
        <f aca="false">COUNTIFS(Questions!$R$2:$R$1000,"*;"&amp;$A20&amp;";*",Questions!$B$2:$B$1000,2025,Questions!$C$2:$C$1000,"Oct/Nov",Questions!$D$2:$D$1000,"9708/23")</f>
        <v>0</v>
      </c>
      <c r="AL20" s="9" t="n">
        <f aca="false">COUNTIFS(Questions!$R$2:$R$1000,"*;"&amp;$A20&amp;";*",Questions!$B$2:$B$1000,2025,Questions!$C$2:$C$1000,"Oct/Nov",Questions!$D$2:$D$1000,"9708/24")</f>
        <v>0</v>
      </c>
      <c r="AM20" s="9" t="n">
        <f aca="false">COUNTIFS(Questions!$R$2:$R$1000,"*;"&amp;$A20&amp;";*",Questions!$B$2:$B$1000,2026,Questions!$C$2:$C$1000,"May/June",Questions!$D$2:$D$1000,"9708/21")</f>
        <v>0</v>
      </c>
      <c r="AN20" s="9" t="n">
        <f aca="false">COUNTIFS(Questions!$R$2:$R$1000,"*;"&amp;$A20&amp;";*",Questions!$B$2:$B$1000,2026,Questions!$C$2:$C$1000,"May/June",Questions!$D$2:$D$1000,"9708/22")</f>
        <v>2</v>
      </c>
      <c r="AO20" s="9" t="n">
        <f aca="false">COUNTIFS(Questions!$R$2:$R$1000,"*;"&amp;$A20&amp;";*",Questions!$B$2:$B$1000,2026,Questions!$C$2:$C$1000,"May/June",Questions!$D$2:$D$1000,"9708/23")</f>
        <v>0</v>
      </c>
      <c r="AP20" s="9" t="n">
        <f aca="false">COUNTIFS(Questions!$R$2:$R$1000,"*;"&amp;$A20&amp;";*",Questions!$B$2:$B$1000,2026,Questions!$C$2:$C$1000,"May/June",Questions!$D$2:$D$1000,"9708/24")</f>
        <v>1</v>
      </c>
      <c r="AQ20" s="9" t="n">
        <f aca="false">SUM(C20:AP20)</f>
        <v>8</v>
      </c>
      <c r="AR20" s="9" t="n">
        <f aca="false">COUNTIF(Questions!$P$2:$P$1000,$A20)</f>
        <v>7</v>
      </c>
      <c r="AS20" s="9" t="n">
        <f aca="false">SUMIF(Questions!$P$2:$P$1000,$A20,Questions!$I$2:$I$1000)</f>
        <v>60</v>
      </c>
    </row>
    <row r="21" customFormat="false" ht="15" hidden="false" customHeight="false" outlineLevel="0" collapsed="false">
      <c r="A21" s="8" t="s">
        <v>201</v>
      </c>
      <c r="B21" s="8" t="s">
        <v>202</v>
      </c>
      <c r="C21" s="9" t="n">
        <f aca="false">COUNTIFS(Questions!$R$2:$R$1000,"*;"&amp;$A21&amp;";*",Questions!$B$2:$B$1000,2021,Questions!$C$2:$C$1000,"Feb/March",Questions!$D$2:$D$1000,"9708/22")</f>
        <v>2</v>
      </c>
      <c r="D21" s="9" t="n">
        <f aca="false">COUNTIFS(Questions!$R$2:$R$1000,"*;"&amp;$A21&amp;";*",Questions!$B$2:$B$1000,2021,Questions!$C$2:$C$1000,"May/June",Questions!$D$2:$D$1000,"9708/21")</f>
        <v>1</v>
      </c>
      <c r="E21" s="9" t="n">
        <f aca="false">COUNTIFS(Questions!$R$2:$R$1000,"*;"&amp;$A21&amp;";*",Questions!$B$2:$B$1000,2021,Questions!$C$2:$C$1000,"May/June",Questions!$D$2:$D$1000,"9708/22")</f>
        <v>1</v>
      </c>
      <c r="F21" s="9" t="n">
        <f aca="false">COUNTIFS(Questions!$R$2:$R$1000,"*;"&amp;$A21&amp;";*",Questions!$B$2:$B$1000,2021,Questions!$C$2:$C$1000,"May/June",Questions!$D$2:$D$1000,"9708/23")</f>
        <v>2</v>
      </c>
      <c r="G21" s="9" t="n">
        <f aca="false">COUNTIFS(Questions!$R$2:$R$1000,"*;"&amp;$A21&amp;";*",Questions!$B$2:$B$1000,2021,Questions!$C$2:$C$1000,"Oct/Nov",Questions!$D$2:$D$1000,"9708/21")</f>
        <v>1</v>
      </c>
      <c r="H21" s="9" t="n">
        <f aca="false">COUNTIFS(Questions!$R$2:$R$1000,"*;"&amp;$A21&amp;";*",Questions!$B$2:$B$1000,2021,Questions!$C$2:$C$1000,"Oct/Nov",Questions!$D$2:$D$1000,"9708/22")</f>
        <v>3</v>
      </c>
      <c r="I21" s="9" t="n">
        <f aca="false">COUNTIFS(Questions!$R$2:$R$1000,"*;"&amp;$A21&amp;";*",Questions!$B$2:$B$1000,2021,Questions!$C$2:$C$1000,"Oct/Nov",Questions!$D$2:$D$1000,"9708/23")</f>
        <v>2</v>
      </c>
      <c r="J21" s="9" t="n">
        <f aca="false">COUNTIFS(Questions!$R$2:$R$1000,"*;"&amp;$A21&amp;";*",Questions!$B$2:$B$1000,2022,Questions!$C$2:$C$1000,"Feb/March",Questions!$D$2:$D$1000,"9708/22")</f>
        <v>1</v>
      </c>
      <c r="K21" s="9" t="n">
        <f aca="false">COUNTIFS(Questions!$R$2:$R$1000,"*;"&amp;$A21&amp;";*",Questions!$B$2:$B$1000,2022,Questions!$C$2:$C$1000,"May/June",Questions!$D$2:$D$1000,"9708/21")</f>
        <v>1</v>
      </c>
      <c r="L21" s="9" t="n">
        <f aca="false">COUNTIFS(Questions!$R$2:$R$1000,"*;"&amp;$A21&amp;";*",Questions!$B$2:$B$1000,2022,Questions!$C$2:$C$1000,"May/June",Questions!$D$2:$D$1000,"9708/22")</f>
        <v>2</v>
      </c>
      <c r="M21" s="9" t="n">
        <f aca="false">COUNTIFS(Questions!$R$2:$R$1000,"*;"&amp;$A21&amp;";*",Questions!$B$2:$B$1000,2022,Questions!$C$2:$C$1000,"May/June",Questions!$D$2:$D$1000,"9708/23")</f>
        <v>1</v>
      </c>
      <c r="N21" s="9" t="n">
        <f aca="false">COUNTIFS(Questions!$R$2:$R$1000,"*;"&amp;$A21&amp;";*",Questions!$B$2:$B$1000,2022,Questions!$C$2:$C$1000,"Oct/Nov",Questions!$D$2:$D$1000,"9708/21")</f>
        <v>0</v>
      </c>
      <c r="O21" s="9" t="n">
        <f aca="false">COUNTIFS(Questions!$R$2:$R$1000,"*;"&amp;$A21&amp;";*",Questions!$B$2:$B$1000,2022,Questions!$C$2:$C$1000,"Oct/Nov",Questions!$D$2:$D$1000,"9708/22")</f>
        <v>0</v>
      </c>
      <c r="P21" s="9" t="n">
        <f aca="false">COUNTIFS(Questions!$R$2:$R$1000,"*;"&amp;$A21&amp;";*",Questions!$B$2:$B$1000,2022,Questions!$C$2:$C$1000,"Oct/Nov",Questions!$D$2:$D$1000,"9708/23")</f>
        <v>0</v>
      </c>
      <c r="Q21" s="9" t="n">
        <f aca="false">COUNTIFS(Questions!$R$2:$R$1000,"*;"&amp;$A21&amp;";*",Questions!$B$2:$B$1000,2023,Questions!$C$2:$C$1000,"Feb/March",Questions!$D$2:$D$1000,"9708/22")</f>
        <v>1</v>
      </c>
      <c r="R21" s="9" t="n">
        <f aca="false">COUNTIFS(Questions!$R$2:$R$1000,"*;"&amp;$A21&amp;";*",Questions!$B$2:$B$1000,2023,Questions!$C$2:$C$1000,"May/June",Questions!$D$2:$D$1000,"9708/21")</f>
        <v>1</v>
      </c>
      <c r="S21" s="9" t="n">
        <f aca="false">COUNTIFS(Questions!$R$2:$R$1000,"*;"&amp;$A21&amp;";*",Questions!$B$2:$B$1000,2023,Questions!$C$2:$C$1000,"May/June",Questions!$D$2:$D$1000,"9708/22")</f>
        <v>0</v>
      </c>
      <c r="T21" s="9" t="n">
        <f aca="false">COUNTIFS(Questions!$R$2:$R$1000,"*;"&amp;$A21&amp;";*",Questions!$B$2:$B$1000,2023,Questions!$C$2:$C$1000,"May/June",Questions!$D$2:$D$1000,"9708/23")</f>
        <v>1</v>
      </c>
      <c r="U21" s="9" t="n">
        <f aca="false">COUNTIFS(Questions!$R$2:$R$1000,"*;"&amp;$A21&amp;";*",Questions!$B$2:$B$1000,2023,Questions!$C$2:$C$1000,"Oct/Nov",Questions!$D$2:$D$1000,"9708/21")</f>
        <v>1</v>
      </c>
      <c r="V21" s="9" t="n">
        <f aca="false">COUNTIFS(Questions!$R$2:$R$1000,"*;"&amp;$A21&amp;";*",Questions!$B$2:$B$1000,2023,Questions!$C$2:$C$1000,"Oct/Nov",Questions!$D$2:$D$1000,"9708/22")</f>
        <v>1</v>
      </c>
      <c r="W21" s="9" t="n">
        <f aca="false">COUNTIFS(Questions!$R$2:$R$1000,"*;"&amp;$A21&amp;";*",Questions!$B$2:$B$1000,2023,Questions!$C$2:$C$1000,"Oct/Nov",Questions!$D$2:$D$1000,"9708/23")</f>
        <v>1</v>
      </c>
      <c r="X21" s="9" t="n">
        <f aca="false">COUNTIFS(Questions!$R$2:$R$1000,"*;"&amp;$A21&amp;";*",Questions!$B$2:$B$1000,2024,Questions!$C$2:$C$1000,"Feb/March",Questions!$D$2:$D$1000,"9708/22")</f>
        <v>0</v>
      </c>
      <c r="Y21" s="9" t="n">
        <f aca="false">COUNTIFS(Questions!$R$2:$R$1000,"*;"&amp;$A21&amp;";*",Questions!$B$2:$B$1000,2024,Questions!$C$2:$C$1000,"May/June",Questions!$D$2:$D$1000,"9708/21")</f>
        <v>2</v>
      </c>
      <c r="Z21" s="9" t="n">
        <f aca="false">COUNTIFS(Questions!$R$2:$R$1000,"*;"&amp;$A21&amp;";*",Questions!$B$2:$B$1000,2024,Questions!$C$2:$C$1000,"May/June",Questions!$D$2:$D$1000,"9708/22")</f>
        <v>1</v>
      </c>
      <c r="AA21" s="9" t="n">
        <f aca="false">COUNTIFS(Questions!$R$2:$R$1000,"*;"&amp;$A21&amp;";*",Questions!$B$2:$B$1000,2024,Questions!$C$2:$C$1000,"May/June",Questions!$D$2:$D$1000,"9708/23")</f>
        <v>2</v>
      </c>
      <c r="AB21" s="9" t="n">
        <f aca="false">COUNTIFS(Questions!$R$2:$R$1000,"*;"&amp;$A21&amp;";*",Questions!$B$2:$B$1000,2024,Questions!$C$2:$C$1000,"Oct/Nov",Questions!$D$2:$D$1000,"9708/21")</f>
        <v>0</v>
      </c>
      <c r="AC21" s="9" t="n">
        <f aca="false">COUNTIFS(Questions!$R$2:$R$1000,"*;"&amp;$A21&amp;";*",Questions!$B$2:$B$1000,2024,Questions!$C$2:$C$1000,"Oct/Nov",Questions!$D$2:$D$1000,"9708/22")</f>
        <v>0</v>
      </c>
      <c r="AD21" s="9" t="n">
        <f aca="false">COUNTIFS(Questions!$R$2:$R$1000,"*;"&amp;$A21&amp;";*",Questions!$B$2:$B$1000,2024,Questions!$C$2:$C$1000,"Oct/Nov",Questions!$D$2:$D$1000,"9708/23")</f>
        <v>1</v>
      </c>
      <c r="AE21" s="9" t="n">
        <f aca="false">COUNTIFS(Questions!$R$2:$R$1000,"*;"&amp;$A21&amp;";*",Questions!$B$2:$B$1000,2025,Questions!$C$2:$C$1000,"May/June",Questions!$D$2:$D$1000,"9708/21")</f>
        <v>1</v>
      </c>
      <c r="AF21" s="9" t="n">
        <f aca="false">COUNTIFS(Questions!$R$2:$R$1000,"*;"&amp;$A21&amp;";*",Questions!$B$2:$B$1000,2025,Questions!$C$2:$C$1000,"May/June",Questions!$D$2:$D$1000,"9708/22")</f>
        <v>1</v>
      </c>
      <c r="AG21" s="9" t="n">
        <f aca="false">COUNTIFS(Questions!$R$2:$R$1000,"*;"&amp;$A21&amp;";*",Questions!$B$2:$B$1000,2025,Questions!$C$2:$C$1000,"May/June",Questions!$D$2:$D$1000,"9708/23")</f>
        <v>0</v>
      </c>
      <c r="AH21" s="9" t="n">
        <f aca="false">COUNTIFS(Questions!$R$2:$R$1000,"*;"&amp;$A21&amp;";*",Questions!$B$2:$B$1000,2025,Questions!$C$2:$C$1000,"May/June",Questions!$D$2:$D$1000,"9708/24")</f>
        <v>2</v>
      </c>
      <c r="AI21" s="9" t="n">
        <f aca="false">COUNTIFS(Questions!$R$2:$R$1000,"*;"&amp;$A21&amp;";*",Questions!$B$2:$B$1000,2025,Questions!$C$2:$C$1000,"Oct/Nov",Questions!$D$2:$D$1000,"9708/21")</f>
        <v>0</v>
      </c>
      <c r="AJ21" s="9" t="n">
        <f aca="false">COUNTIFS(Questions!$R$2:$R$1000,"*;"&amp;$A21&amp;";*",Questions!$B$2:$B$1000,2025,Questions!$C$2:$C$1000,"Oct/Nov",Questions!$D$2:$D$1000,"9708/22")</f>
        <v>1</v>
      </c>
      <c r="AK21" s="9" t="n">
        <f aca="false">COUNTIFS(Questions!$R$2:$R$1000,"*;"&amp;$A21&amp;";*",Questions!$B$2:$B$1000,2025,Questions!$C$2:$C$1000,"Oct/Nov",Questions!$D$2:$D$1000,"9708/23")</f>
        <v>1</v>
      </c>
      <c r="AL21" s="9" t="n">
        <f aca="false">COUNTIFS(Questions!$R$2:$R$1000,"*;"&amp;$A21&amp;";*",Questions!$B$2:$B$1000,2025,Questions!$C$2:$C$1000,"Oct/Nov",Questions!$D$2:$D$1000,"9708/24")</f>
        <v>0</v>
      </c>
      <c r="AM21" s="9" t="n">
        <f aca="false">COUNTIFS(Questions!$R$2:$R$1000,"*;"&amp;$A21&amp;";*",Questions!$B$2:$B$1000,2026,Questions!$C$2:$C$1000,"May/June",Questions!$D$2:$D$1000,"9708/21")</f>
        <v>1</v>
      </c>
      <c r="AN21" s="9" t="n">
        <f aca="false">COUNTIFS(Questions!$R$2:$R$1000,"*;"&amp;$A21&amp;";*",Questions!$B$2:$B$1000,2026,Questions!$C$2:$C$1000,"May/June",Questions!$D$2:$D$1000,"9708/22")</f>
        <v>1</v>
      </c>
      <c r="AO21" s="9" t="n">
        <f aca="false">COUNTIFS(Questions!$R$2:$R$1000,"*;"&amp;$A21&amp;";*",Questions!$B$2:$B$1000,2026,Questions!$C$2:$C$1000,"May/June",Questions!$D$2:$D$1000,"9708/23")</f>
        <v>3</v>
      </c>
      <c r="AP21" s="9" t="n">
        <f aca="false">COUNTIFS(Questions!$R$2:$R$1000,"*;"&amp;$A21&amp;";*",Questions!$B$2:$B$1000,2026,Questions!$C$2:$C$1000,"May/June",Questions!$D$2:$D$1000,"9708/24")</f>
        <v>1</v>
      </c>
      <c r="AQ21" s="9" t="n">
        <f aca="false">SUM(C21:AP21)</f>
        <v>41</v>
      </c>
      <c r="AR21" s="9" t="n">
        <f aca="false">COUNTIF(Questions!$P$2:$P$1000,$A21)</f>
        <v>12</v>
      </c>
      <c r="AS21" s="9" t="n">
        <f aca="false">SUMIF(Questions!$P$2:$P$1000,$A21,Questions!$I$2:$I$1000)</f>
        <v>87</v>
      </c>
    </row>
    <row r="22" customFormat="false" ht="15" hidden="false" customHeight="false" outlineLevel="0" collapsed="false">
      <c r="A22" s="8" t="s">
        <v>594</v>
      </c>
      <c r="B22" s="8" t="s">
        <v>595</v>
      </c>
      <c r="C22" s="9" t="n">
        <f aca="false">COUNTIFS(Questions!$R$2:$R$1000,"*;"&amp;$A22&amp;";*",Questions!$B$2:$B$1000,2021,Questions!$C$2:$C$1000,"Feb/March",Questions!$D$2:$D$1000,"9708/22")</f>
        <v>0</v>
      </c>
      <c r="D22" s="9" t="n">
        <f aca="false">COUNTIFS(Questions!$R$2:$R$1000,"*;"&amp;$A22&amp;";*",Questions!$B$2:$B$1000,2021,Questions!$C$2:$C$1000,"May/June",Questions!$D$2:$D$1000,"9708/21")</f>
        <v>0</v>
      </c>
      <c r="E22" s="9" t="n">
        <f aca="false">COUNTIFS(Questions!$R$2:$R$1000,"*;"&amp;$A22&amp;";*",Questions!$B$2:$B$1000,2021,Questions!$C$2:$C$1000,"May/June",Questions!$D$2:$D$1000,"9708/22")</f>
        <v>0</v>
      </c>
      <c r="F22" s="9" t="n">
        <f aca="false">COUNTIFS(Questions!$R$2:$R$1000,"*;"&amp;$A22&amp;";*",Questions!$B$2:$B$1000,2021,Questions!$C$2:$C$1000,"May/June",Questions!$D$2:$D$1000,"9708/23")</f>
        <v>1</v>
      </c>
      <c r="G22" s="9" t="n">
        <f aca="false">COUNTIFS(Questions!$R$2:$R$1000,"*;"&amp;$A22&amp;";*",Questions!$B$2:$B$1000,2021,Questions!$C$2:$C$1000,"Oct/Nov",Questions!$D$2:$D$1000,"9708/21")</f>
        <v>0</v>
      </c>
      <c r="H22" s="9" t="n">
        <f aca="false">COUNTIFS(Questions!$R$2:$R$1000,"*;"&amp;$A22&amp;";*",Questions!$B$2:$B$1000,2021,Questions!$C$2:$C$1000,"Oct/Nov",Questions!$D$2:$D$1000,"9708/22")</f>
        <v>0</v>
      </c>
      <c r="I22" s="9" t="n">
        <f aca="false">COUNTIFS(Questions!$R$2:$R$1000,"*;"&amp;$A22&amp;";*",Questions!$B$2:$B$1000,2021,Questions!$C$2:$C$1000,"Oct/Nov",Questions!$D$2:$D$1000,"9708/23")</f>
        <v>4</v>
      </c>
      <c r="J22" s="9" t="n">
        <f aca="false">COUNTIFS(Questions!$R$2:$R$1000,"*;"&amp;$A22&amp;";*",Questions!$B$2:$B$1000,2022,Questions!$C$2:$C$1000,"Feb/March",Questions!$D$2:$D$1000,"9708/22")</f>
        <v>0</v>
      </c>
      <c r="K22" s="9" t="n">
        <f aca="false">COUNTIFS(Questions!$R$2:$R$1000,"*;"&amp;$A22&amp;";*",Questions!$B$2:$B$1000,2022,Questions!$C$2:$C$1000,"May/June",Questions!$D$2:$D$1000,"9708/21")</f>
        <v>0</v>
      </c>
      <c r="L22" s="9" t="n">
        <f aca="false">COUNTIFS(Questions!$R$2:$R$1000,"*;"&amp;$A22&amp;";*",Questions!$B$2:$B$1000,2022,Questions!$C$2:$C$1000,"May/June",Questions!$D$2:$D$1000,"9708/22")</f>
        <v>1</v>
      </c>
      <c r="M22" s="9" t="n">
        <f aca="false">COUNTIFS(Questions!$R$2:$R$1000,"*;"&amp;$A22&amp;";*",Questions!$B$2:$B$1000,2022,Questions!$C$2:$C$1000,"May/June",Questions!$D$2:$D$1000,"9708/23")</f>
        <v>0</v>
      </c>
      <c r="N22" s="9" t="n">
        <f aca="false">COUNTIFS(Questions!$R$2:$R$1000,"*;"&amp;$A22&amp;";*",Questions!$B$2:$B$1000,2022,Questions!$C$2:$C$1000,"Oct/Nov",Questions!$D$2:$D$1000,"9708/21")</f>
        <v>0</v>
      </c>
      <c r="O22" s="9" t="n">
        <f aca="false">COUNTIFS(Questions!$R$2:$R$1000,"*;"&amp;$A22&amp;";*",Questions!$B$2:$B$1000,2022,Questions!$C$2:$C$1000,"Oct/Nov",Questions!$D$2:$D$1000,"9708/22")</f>
        <v>0</v>
      </c>
      <c r="P22" s="9" t="n">
        <f aca="false">COUNTIFS(Questions!$R$2:$R$1000,"*;"&amp;$A22&amp;";*",Questions!$B$2:$B$1000,2022,Questions!$C$2:$C$1000,"Oct/Nov",Questions!$D$2:$D$1000,"9708/23")</f>
        <v>0</v>
      </c>
      <c r="Q22" s="9" t="n">
        <f aca="false">COUNTIFS(Questions!$R$2:$R$1000,"*;"&amp;$A22&amp;";*",Questions!$B$2:$B$1000,2023,Questions!$C$2:$C$1000,"Feb/March",Questions!$D$2:$D$1000,"9708/22")</f>
        <v>1</v>
      </c>
      <c r="R22" s="9" t="n">
        <f aca="false">COUNTIFS(Questions!$R$2:$R$1000,"*;"&amp;$A22&amp;";*",Questions!$B$2:$B$1000,2023,Questions!$C$2:$C$1000,"May/June",Questions!$D$2:$D$1000,"9708/21")</f>
        <v>0</v>
      </c>
      <c r="S22" s="9" t="n">
        <f aca="false">COUNTIFS(Questions!$R$2:$R$1000,"*;"&amp;$A22&amp;";*",Questions!$B$2:$B$1000,2023,Questions!$C$2:$C$1000,"May/June",Questions!$D$2:$D$1000,"9708/22")</f>
        <v>1</v>
      </c>
      <c r="T22" s="9" t="n">
        <f aca="false">COUNTIFS(Questions!$R$2:$R$1000,"*;"&amp;$A22&amp;";*",Questions!$B$2:$B$1000,2023,Questions!$C$2:$C$1000,"May/June",Questions!$D$2:$D$1000,"9708/23")</f>
        <v>0</v>
      </c>
      <c r="U22" s="9" t="n">
        <f aca="false">COUNTIFS(Questions!$R$2:$R$1000,"*;"&amp;$A22&amp;";*",Questions!$B$2:$B$1000,2023,Questions!$C$2:$C$1000,"Oct/Nov",Questions!$D$2:$D$1000,"9708/21")</f>
        <v>3</v>
      </c>
      <c r="V22" s="9" t="n">
        <f aca="false">COUNTIFS(Questions!$R$2:$R$1000,"*;"&amp;$A22&amp;";*",Questions!$B$2:$B$1000,2023,Questions!$C$2:$C$1000,"Oct/Nov",Questions!$D$2:$D$1000,"9708/22")</f>
        <v>1</v>
      </c>
      <c r="W22" s="9" t="n">
        <f aca="false">COUNTIFS(Questions!$R$2:$R$1000,"*;"&amp;$A22&amp;";*",Questions!$B$2:$B$1000,2023,Questions!$C$2:$C$1000,"Oct/Nov",Questions!$D$2:$D$1000,"9708/23")</f>
        <v>5</v>
      </c>
      <c r="X22" s="9" t="n">
        <f aca="false">COUNTIFS(Questions!$R$2:$R$1000,"*;"&amp;$A22&amp;";*",Questions!$B$2:$B$1000,2024,Questions!$C$2:$C$1000,"Feb/March",Questions!$D$2:$D$1000,"9708/22")</f>
        <v>3</v>
      </c>
      <c r="Y22" s="9" t="n">
        <f aca="false">COUNTIFS(Questions!$R$2:$R$1000,"*;"&amp;$A22&amp;";*",Questions!$B$2:$B$1000,2024,Questions!$C$2:$C$1000,"May/June",Questions!$D$2:$D$1000,"9708/21")</f>
        <v>1</v>
      </c>
      <c r="Z22" s="9" t="n">
        <f aca="false">COUNTIFS(Questions!$R$2:$R$1000,"*;"&amp;$A22&amp;";*",Questions!$B$2:$B$1000,2024,Questions!$C$2:$C$1000,"May/June",Questions!$D$2:$D$1000,"9708/22")</f>
        <v>2</v>
      </c>
      <c r="AA22" s="9" t="n">
        <f aca="false">COUNTIFS(Questions!$R$2:$R$1000,"*;"&amp;$A22&amp;";*",Questions!$B$2:$B$1000,2024,Questions!$C$2:$C$1000,"May/June",Questions!$D$2:$D$1000,"9708/23")</f>
        <v>2</v>
      </c>
      <c r="AB22" s="9" t="n">
        <f aca="false">COUNTIFS(Questions!$R$2:$R$1000,"*;"&amp;$A22&amp;";*",Questions!$B$2:$B$1000,2024,Questions!$C$2:$C$1000,"Oct/Nov",Questions!$D$2:$D$1000,"9708/21")</f>
        <v>1</v>
      </c>
      <c r="AC22" s="9" t="n">
        <f aca="false">COUNTIFS(Questions!$R$2:$R$1000,"*;"&amp;$A22&amp;";*",Questions!$B$2:$B$1000,2024,Questions!$C$2:$C$1000,"Oct/Nov",Questions!$D$2:$D$1000,"9708/22")</f>
        <v>3</v>
      </c>
      <c r="AD22" s="9" t="n">
        <f aca="false">COUNTIFS(Questions!$R$2:$R$1000,"*;"&amp;$A22&amp;";*",Questions!$B$2:$B$1000,2024,Questions!$C$2:$C$1000,"Oct/Nov",Questions!$D$2:$D$1000,"9708/23")</f>
        <v>1</v>
      </c>
      <c r="AE22" s="9" t="n">
        <f aca="false">COUNTIFS(Questions!$R$2:$R$1000,"*;"&amp;$A22&amp;";*",Questions!$B$2:$B$1000,2025,Questions!$C$2:$C$1000,"May/June",Questions!$D$2:$D$1000,"9708/21")</f>
        <v>1</v>
      </c>
      <c r="AF22" s="9" t="n">
        <f aca="false">COUNTIFS(Questions!$R$2:$R$1000,"*;"&amp;$A22&amp;";*",Questions!$B$2:$B$1000,2025,Questions!$C$2:$C$1000,"May/June",Questions!$D$2:$D$1000,"9708/22")</f>
        <v>1</v>
      </c>
      <c r="AG22" s="9" t="n">
        <f aca="false">COUNTIFS(Questions!$R$2:$R$1000,"*;"&amp;$A22&amp;";*",Questions!$B$2:$B$1000,2025,Questions!$C$2:$C$1000,"May/June",Questions!$D$2:$D$1000,"9708/23")</f>
        <v>2</v>
      </c>
      <c r="AH22" s="9" t="n">
        <f aca="false">COUNTIFS(Questions!$R$2:$R$1000,"*;"&amp;$A22&amp;";*",Questions!$B$2:$B$1000,2025,Questions!$C$2:$C$1000,"May/June",Questions!$D$2:$D$1000,"9708/24")</f>
        <v>3</v>
      </c>
      <c r="AI22" s="9" t="n">
        <f aca="false">COUNTIFS(Questions!$R$2:$R$1000,"*;"&amp;$A22&amp;";*",Questions!$B$2:$B$1000,2025,Questions!$C$2:$C$1000,"Oct/Nov",Questions!$D$2:$D$1000,"9708/21")</f>
        <v>0</v>
      </c>
      <c r="AJ22" s="9" t="n">
        <f aca="false">COUNTIFS(Questions!$R$2:$R$1000,"*;"&amp;$A22&amp;";*",Questions!$B$2:$B$1000,2025,Questions!$C$2:$C$1000,"Oct/Nov",Questions!$D$2:$D$1000,"9708/22")</f>
        <v>1</v>
      </c>
      <c r="AK22" s="9" t="n">
        <f aca="false">COUNTIFS(Questions!$R$2:$R$1000,"*;"&amp;$A22&amp;";*",Questions!$B$2:$B$1000,2025,Questions!$C$2:$C$1000,"Oct/Nov",Questions!$D$2:$D$1000,"9708/23")</f>
        <v>0</v>
      </c>
      <c r="AL22" s="9" t="n">
        <f aca="false">COUNTIFS(Questions!$R$2:$R$1000,"*;"&amp;$A22&amp;";*",Questions!$B$2:$B$1000,2025,Questions!$C$2:$C$1000,"Oct/Nov",Questions!$D$2:$D$1000,"9708/24")</f>
        <v>2</v>
      </c>
      <c r="AM22" s="9" t="n">
        <f aca="false">COUNTIFS(Questions!$R$2:$R$1000,"*;"&amp;$A22&amp;";*",Questions!$B$2:$B$1000,2026,Questions!$C$2:$C$1000,"May/June",Questions!$D$2:$D$1000,"9708/21")</f>
        <v>1</v>
      </c>
      <c r="AN22" s="9" t="n">
        <f aca="false">COUNTIFS(Questions!$R$2:$R$1000,"*;"&amp;$A22&amp;";*",Questions!$B$2:$B$1000,2026,Questions!$C$2:$C$1000,"May/June",Questions!$D$2:$D$1000,"9708/22")</f>
        <v>2</v>
      </c>
      <c r="AO22" s="9" t="n">
        <f aca="false">COUNTIFS(Questions!$R$2:$R$1000,"*;"&amp;$A22&amp;";*",Questions!$B$2:$B$1000,2026,Questions!$C$2:$C$1000,"May/June",Questions!$D$2:$D$1000,"9708/23")</f>
        <v>0</v>
      </c>
      <c r="AP22" s="9" t="n">
        <f aca="false">COUNTIFS(Questions!$R$2:$R$1000,"*;"&amp;$A22&amp;";*",Questions!$B$2:$B$1000,2026,Questions!$C$2:$C$1000,"May/June",Questions!$D$2:$D$1000,"9708/24")</f>
        <v>1</v>
      </c>
      <c r="AQ22" s="9" t="n">
        <f aca="false">SUM(C22:AP22)</f>
        <v>44</v>
      </c>
      <c r="AR22" s="9" t="n">
        <f aca="false">COUNTIF(Questions!$P$2:$P$1000,$A22)</f>
        <v>24</v>
      </c>
      <c r="AS22" s="9" t="n">
        <f aca="false">SUMIF(Questions!$P$2:$P$1000,$A22,Questions!$I$2:$I$1000)</f>
        <v>138</v>
      </c>
    </row>
    <row r="23" customFormat="false" ht="15" hidden="false" customHeight="false" outlineLevel="0" collapsed="false">
      <c r="A23" s="8" t="s">
        <v>1266</v>
      </c>
      <c r="B23" s="8" t="s">
        <v>1267</v>
      </c>
      <c r="C23" s="9" t="n">
        <f aca="false">COUNTIFS(Questions!$R$2:$R$1000,"*;"&amp;$A23&amp;";*",Questions!$B$2:$B$1000,2021,Questions!$C$2:$C$1000,"Feb/March",Questions!$D$2:$D$1000,"9708/22")</f>
        <v>0</v>
      </c>
      <c r="D23" s="9" t="n">
        <f aca="false">COUNTIFS(Questions!$R$2:$R$1000,"*;"&amp;$A23&amp;";*",Questions!$B$2:$B$1000,2021,Questions!$C$2:$C$1000,"May/June",Questions!$D$2:$D$1000,"9708/21")</f>
        <v>0</v>
      </c>
      <c r="E23" s="9" t="n">
        <f aca="false">COUNTIFS(Questions!$R$2:$R$1000,"*;"&amp;$A23&amp;";*",Questions!$B$2:$B$1000,2021,Questions!$C$2:$C$1000,"May/June",Questions!$D$2:$D$1000,"9708/22")</f>
        <v>0</v>
      </c>
      <c r="F23" s="9" t="n">
        <f aca="false">COUNTIFS(Questions!$R$2:$R$1000,"*;"&amp;$A23&amp;";*",Questions!$B$2:$B$1000,2021,Questions!$C$2:$C$1000,"May/June",Questions!$D$2:$D$1000,"9708/23")</f>
        <v>0</v>
      </c>
      <c r="G23" s="9" t="n">
        <f aca="false">COUNTIFS(Questions!$R$2:$R$1000,"*;"&amp;$A23&amp;";*",Questions!$B$2:$B$1000,2021,Questions!$C$2:$C$1000,"Oct/Nov",Questions!$D$2:$D$1000,"9708/21")</f>
        <v>0</v>
      </c>
      <c r="H23" s="9" t="n">
        <f aca="false">COUNTIFS(Questions!$R$2:$R$1000,"*;"&amp;$A23&amp;";*",Questions!$B$2:$B$1000,2021,Questions!$C$2:$C$1000,"Oct/Nov",Questions!$D$2:$D$1000,"9708/22")</f>
        <v>0</v>
      </c>
      <c r="I23" s="9" t="n">
        <f aca="false">COUNTIFS(Questions!$R$2:$R$1000,"*;"&amp;$A23&amp;";*",Questions!$B$2:$B$1000,2021,Questions!$C$2:$C$1000,"Oct/Nov",Questions!$D$2:$D$1000,"9708/23")</f>
        <v>0</v>
      </c>
      <c r="J23" s="9" t="n">
        <f aca="false">COUNTIFS(Questions!$R$2:$R$1000,"*;"&amp;$A23&amp;";*",Questions!$B$2:$B$1000,2022,Questions!$C$2:$C$1000,"Feb/March",Questions!$D$2:$D$1000,"9708/22")</f>
        <v>0</v>
      </c>
      <c r="K23" s="9" t="n">
        <f aca="false">COUNTIFS(Questions!$R$2:$R$1000,"*;"&amp;$A23&amp;";*",Questions!$B$2:$B$1000,2022,Questions!$C$2:$C$1000,"May/June",Questions!$D$2:$D$1000,"9708/21")</f>
        <v>0</v>
      </c>
      <c r="L23" s="9" t="n">
        <f aca="false">COUNTIFS(Questions!$R$2:$R$1000,"*;"&amp;$A23&amp;";*",Questions!$B$2:$B$1000,2022,Questions!$C$2:$C$1000,"May/June",Questions!$D$2:$D$1000,"9708/22")</f>
        <v>0</v>
      </c>
      <c r="M23" s="9" t="n">
        <f aca="false">COUNTIFS(Questions!$R$2:$R$1000,"*;"&amp;$A23&amp;";*",Questions!$B$2:$B$1000,2022,Questions!$C$2:$C$1000,"May/June",Questions!$D$2:$D$1000,"9708/23")</f>
        <v>0</v>
      </c>
      <c r="N23" s="9" t="n">
        <f aca="false">COUNTIFS(Questions!$R$2:$R$1000,"*;"&amp;$A23&amp;";*",Questions!$B$2:$B$1000,2022,Questions!$C$2:$C$1000,"Oct/Nov",Questions!$D$2:$D$1000,"9708/21")</f>
        <v>0</v>
      </c>
      <c r="O23" s="9" t="n">
        <f aca="false">COUNTIFS(Questions!$R$2:$R$1000,"*;"&amp;$A23&amp;";*",Questions!$B$2:$B$1000,2022,Questions!$C$2:$C$1000,"Oct/Nov",Questions!$D$2:$D$1000,"9708/22")</f>
        <v>0</v>
      </c>
      <c r="P23" s="9" t="n">
        <f aca="false">COUNTIFS(Questions!$R$2:$R$1000,"*;"&amp;$A23&amp;";*",Questions!$B$2:$B$1000,2022,Questions!$C$2:$C$1000,"Oct/Nov",Questions!$D$2:$D$1000,"9708/23")</f>
        <v>0</v>
      </c>
      <c r="Q23" s="9" t="n">
        <f aca="false">COUNTIFS(Questions!$R$2:$R$1000,"*;"&amp;$A23&amp;";*",Questions!$B$2:$B$1000,2023,Questions!$C$2:$C$1000,"Feb/March",Questions!$D$2:$D$1000,"9708/22")</f>
        <v>0</v>
      </c>
      <c r="R23" s="9" t="n">
        <f aca="false">COUNTIFS(Questions!$R$2:$R$1000,"*;"&amp;$A23&amp;";*",Questions!$B$2:$B$1000,2023,Questions!$C$2:$C$1000,"May/June",Questions!$D$2:$D$1000,"9708/21")</f>
        <v>5</v>
      </c>
      <c r="S23" s="9" t="n">
        <f aca="false">COUNTIFS(Questions!$R$2:$R$1000,"*;"&amp;$A23&amp;";*",Questions!$B$2:$B$1000,2023,Questions!$C$2:$C$1000,"May/June",Questions!$D$2:$D$1000,"9708/22")</f>
        <v>1</v>
      </c>
      <c r="T23" s="9" t="n">
        <f aca="false">COUNTIFS(Questions!$R$2:$R$1000,"*;"&amp;$A23&amp;";*",Questions!$B$2:$B$1000,2023,Questions!$C$2:$C$1000,"May/June",Questions!$D$2:$D$1000,"9708/23")</f>
        <v>0</v>
      </c>
      <c r="U23" s="9" t="n">
        <f aca="false">COUNTIFS(Questions!$R$2:$R$1000,"*;"&amp;$A23&amp;";*",Questions!$B$2:$B$1000,2023,Questions!$C$2:$C$1000,"Oct/Nov",Questions!$D$2:$D$1000,"9708/21")</f>
        <v>0</v>
      </c>
      <c r="V23" s="9" t="n">
        <f aca="false">COUNTIFS(Questions!$R$2:$R$1000,"*;"&amp;$A23&amp;";*",Questions!$B$2:$B$1000,2023,Questions!$C$2:$C$1000,"Oct/Nov",Questions!$D$2:$D$1000,"9708/22")</f>
        <v>1</v>
      </c>
      <c r="W23" s="9" t="n">
        <f aca="false">COUNTIFS(Questions!$R$2:$R$1000,"*;"&amp;$A23&amp;";*",Questions!$B$2:$B$1000,2023,Questions!$C$2:$C$1000,"Oct/Nov",Questions!$D$2:$D$1000,"9708/23")</f>
        <v>3</v>
      </c>
      <c r="X23" s="9" t="n">
        <f aca="false">COUNTIFS(Questions!$R$2:$R$1000,"*;"&amp;$A23&amp;";*",Questions!$B$2:$B$1000,2024,Questions!$C$2:$C$1000,"Feb/March",Questions!$D$2:$D$1000,"9708/22")</f>
        <v>1</v>
      </c>
      <c r="Y23" s="9" t="n">
        <f aca="false">COUNTIFS(Questions!$R$2:$R$1000,"*;"&amp;$A23&amp;";*",Questions!$B$2:$B$1000,2024,Questions!$C$2:$C$1000,"May/June",Questions!$D$2:$D$1000,"9708/21")</f>
        <v>2</v>
      </c>
      <c r="Z23" s="9" t="n">
        <f aca="false">COUNTIFS(Questions!$R$2:$R$1000,"*;"&amp;$A23&amp;";*",Questions!$B$2:$B$1000,2024,Questions!$C$2:$C$1000,"May/June",Questions!$D$2:$D$1000,"9708/22")</f>
        <v>1</v>
      </c>
      <c r="AA23" s="9" t="n">
        <f aca="false">COUNTIFS(Questions!$R$2:$R$1000,"*;"&amp;$A23&amp;";*",Questions!$B$2:$B$1000,2024,Questions!$C$2:$C$1000,"May/June",Questions!$D$2:$D$1000,"9708/23")</f>
        <v>1</v>
      </c>
      <c r="AB23" s="9" t="n">
        <f aca="false">COUNTIFS(Questions!$R$2:$R$1000,"*;"&amp;$A23&amp;";*",Questions!$B$2:$B$1000,2024,Questions!$C$2:$C$1000,"Oct/Nov",Questions!$D$2:$D$1000,"9708/21")</f>
        <v>0</v>
      </c>
      <c r="AC23" s="9" t="n">
        <f aca="false">COUNTIFS(Questions!$R$2:$R$1000,"*;"&amp;$A23&amp;";*",Questions!$B$2:$B$1000,2024,Questions!$C$2:$C$1000,"Oct/Nov",Questions!$D$2:$D$1000,"9708/22")</f>
        <v>2</v>
      </c>
      <c r="AD23" s="9" t="n">
        <f aca="false">COUNTIFS(Questions!$R$2:$R$1000,"*;"&amp;$A23&amp;";*",Questions!$B$2:$B$1000,2024,Questions!$C$2:$C$1000,"Oct/Nov",Questions!$D$2:$D$1000,"9708/23")</f>
        <v>0</v>
      </c>
      <c r="AE23" s="9" t="n">
        <f aca="false">COUNTIFS(Questions!$R$2:$R$1000,"*;"&amp;$A23&amp;";*",Questions!$B$2:$B$1000,2025,Questions!$C$2:$C$1000,"May/June",Questions!$D$2:$D$1000,"9708/21")</f>
        <v>2</v>
      </c>
      <c r="AF23" s="9" t="n">
        <f aca="false">COUNTIFS(Questions!$R$2:$R$1000,"*;"&amp;$A23&amp;";*",Questions!$B$2:$B$1000,2025,Questions!$C$2:$C$1000,"May/June",Questions!$D$2:$D$1000,"9708/22")</f>
        <v>4</v>
      </c>
      <c r="AG23" s="9" t="n">
        <f aca="false">COUNTIFS(Questions!$R$2:$R$1000,"*;"&amp;$A23&amp;";*",Questions!$B$2:$B$1000,2025,Questions!$C$2:$C$1000,"May/June",Questions!$D$2:$D$1000,"9708/23")</f>
        <v>0</v>
      </c>
      <c r="AH23" s="9" t="n">
        <f aca="false">COUNTIFS(Questions!$R$2:$R$1000,"*;"&amp;$A23&amp;";*",Questions!$B$2:$B$1000,2025,Questions!$C$2:$C$1000,"May/June",Questions!$D$2:$D$1000,"9708/24")</f>
        <v>1</v>
      </c>
      <c r="AI23" s="9" t="n">
        <f aca="false">COUNTIFS(Questions!$R$2:$R$1000,"*;"&amp;$A23&amp;";*",Questions!$B$2:$B$1000,2025,Questions!$C$2:$C$1000,"Oct/Nov",Questions!$D$2:$D$1000,"9708/21")</f>
        <v>2</v>
      </c>
      <c r="AJ23" s="9" t="n">
        <f aca="false">COUNTIFS(Questions!$R$2:$R$1000,"*;"&amp;$A23&amp;";*",Questions!$B$2:$B$1000,2025,Questions!$C$2:$C$1000,"Oct/Nov",Questions!$D$2:$D$1000,"9708/22")</f>
        <v>0</v>
      </c>
      <c r="AK23" s="9" t="n">
        <f aca="false">COUNTIFS(Questions!$R$2:$R$1000,"*;"&amp;$A23&amp;";*",Questions!$B$2:$B$1000,2025,Questions!$C$2:$C$1000,"Oct/Nov",Questions!$D$2:$D$1000,"9708/23")</f>
        <v>0</v>
      </c>
      <c r="AL23" s="9" t="n">
        <f aca="false">COUNTIFS(Questions!$R$2:$R$1000,"*;"&amp;$A23&amp;";*",Questions!$B$2:$B$1000,2025,Questions!$C$2:$C$1000,"Oct/Nov",Questions!$D$2:$D$1000,"9708/24")</f>
        <v>2</v>
      </c>
      <c r="AM23" s="9" t="n">
        <f aca="false">COUNTIFS(Questions!$R$2:$R$1000,"*;"&amp;$A23&amp;";*",Questions!$B$2:$B$1000,2026,Questions!$C$2:$C$1000,"May/June",Questions!$D$2:$D$1000,"9708/21")</f>
        <v>2</v>
      </c>
      <c r="AN23" s="9" t="n">
        <f aca="false">COUNTIFS(Questions!$R$2:$R$1000,"*;"&amp;$A23&amp;";*",Questions!$B$2:$B$1000,2026,Questions!$C$2:$C$1000,"May/June",Questions!$D$2:$D$1000,"9708/22")</f>
        <v>0</v>
      </c>
      <c r="AO23" s="9" t="n">
        <f aca="false">COUNTIFS(Questions!$R$2:$R$1000,"*;"&amp;$A23&amp;";*",Questions!$B$2:$B$1000,2026,Questions!$C$2:$C$1000,"May/June",Questions!$D$2:$D$1000,"9708/23")</f>
        <v>2</v>
      </c>
      <c r="AP23" s="9" t="n">
        <f aca="false">COUNTIFS(Questions!$R$2:$R$1000,"*;"&amp;$A23&amp;";*",Questions!$B$2:$B$1000,2026,Questions!$C$2:$C$1000,"May/June",Questions!$D$2:$D$1000,"9708/24")</f>
        <v>0</v>
      </c>
      <c r="AQ23" s="9" t="n">
        <f aca="false">SUM(C23:AP23)</f>
        <v>32</v>
      </c>
      <c r="AR23" s="9" t="n">
        <f aca="false">COUNTIF(Questions!$P$2:$P$1000,$A23)</f>
        <v>19</v>
      </c>
      <c r="AS23" s="9" t="n">
        <f aca="false">SUMIF(Questions!$P$2:$P$1000,$A23,Questions!$I$2:$I$1000)</f>
        <v>114</v>
      </c>
    </row>
    <row r="24" customFormat="false" ht="15" hidden="false" customHeight="false" outlineLevel="0" collapsed="false">
      <c r="A24" s="8" t="s">
        <v>39</v>
      </c>
      <c r="B24" s="8" t="s">
        <v>40</v>
      </c>
      <c r="C24" s="9" t="n">
        <f aca="false">COUNTIFS(Questions!$R$2:$R$1000,"*;"&amp;$A24&amp;";*",Questions!$B$2:$B$1000,2021,Questions!$C$2:$C$1000,"Feb/March",Questions!$D$2:$D$1000,"9708/22")</f>
        <v>3</v>
      </c>
      <c r="D24" s="9" t="n">
        <f aca="false">COUNTIFS(Questions!$R$2:$R$1000,"*;"&amp;$A24&amp;";*",Questions!$B$2:$B$1000,2021,Questions!$C$2:$C$1000,"May/June",Questions!$D$2:$D$1000,"9708/21")</f>
        <v>1</v>
      </c>
      <c r="E24" s="9" t="n">
        <f aca="false">COUNTIFS(Questions!$R$2:$R$1000,"*;"&amp;$A24&amp;";*",Questions!$B$2:$B$1000,2021,Questions!$C$2:$C$1000,"May/June",Questions!$D$2:$D$1000,"9708/22")</f>
        <v>3</v>
      </c>
      <c r="F24" s="9" t="n">
        <f aca="false">COUNTIFS(Questions!$R$2:$R$1000,"*;"&amp;$A24&amp;";*",Questions!$B$2:$B$1000,2021,Questions!$C$2:$C$1000,"May/June",Questions!$D$2:$D$1000,"9708/23")</f>
        <v>2</v>
      </c>
      <c r="G24" s="9" t="n">
        <f aca="false">COUNTIFS(Questions!$R$2:$R$1000,"*;"&amp;$A24&amp;";*",Questions!$B$2:$B$1000,2021,Questions!$C$2:$C$1000,"Oct/Nov",Questions!$D$2:$D$1000,"9708/21")</f>
        <v>5</v>
      </c>
      <c r="H24" s="9" t="n">
        <f aca="false">COUNTIFS(Questions!$R$2:$R$1000,"*;"&amp;$A24&amp;";*",Questions!$B$2:$B$1000,2021,Questions!$C$2:$C$1000,"Oct/Nov",Questions!$D$2:$D$1000,"9708/22")</f>
        <v>2</v>
      </c>
      <c r="I24" s="9" t="n">
        <f aca="false">COUNTIFS(Questions!$R$2:$R$1000,"*;"&amp;$A24&amp;";*",Questions!$B$2:$B$1000,2021,Questions!$C$2:$C$1000,"Oct/Nov",Questions!$D$2:$D$1000,"9708/23")</f>
        <v>2</v>
      </c>
      <c r="J24" s="9" t="n">
        <f aca="false">COUNTIFS(Questions!$R$2:$R$1000,"*;"&amp;$A24&amp;";*",Questions!$B$2:$B$1000,2022,Questions!$C$2:$C$1000,"Feb/March",Questions!$D$2:$D$1000,"9708/22")</f>
        <v>4</v>
      </c>
      <c r="K24" s="9" t="n">
        <f aca="false">COUNTIFS(Questions!$R$2:$R$1000,"*;"&amp;$A24&amp;";*",Questions!$B$2:$B$1000,2022,Questions!$C$2:$C$1000,"May/June",Questions!$D$2:$D$1000,"9708/21")</f>
        <v>5</v>
      </c>
      <c r="L24" s="9" t="n">
        <f aca="false">COUNTIFS(Questions!$R$2:$R$1000,"*;"&amp;$A24&amp;";*",Questions!$B$2:$B$1000,2022,Questions!$C$2:$C$1000,"May/June",Questions!$D$2:$D$1000,"9708/22")</f>
        <v>4</v>
      </c>
      <c r="M24" s="9" t="n">
        <f aca="false">COUNTIFS(Questions!$R$2:$R$1000,"*;"&amp;$A24&amp;";*",Questions!$B$2:$B$1000,2022,Questions!$C$2:$C$1000,"May/June",Questions!$D$2:$D$1000,"9708/23")</f>
        <v>2</v>
      </c>
      <c r="N24" s="9" t="n">
        <f aca="false">COUNTIFS(Questions!$R$2:$R$1000,"*;"&amp;$A24&amp;";*",Questions!$B$2:$B$1000,2022,Questions!$C$2:$C$1000,"Oct/Nov",Questions!$D$2:$D$1000,"9708/21")</f>
        <v>1</v>
      </c>
      <c r="O24" s="9" t="n">
        <f aca="false">COUNTIFS(Questions!$R$2:$R$1000,"*;"&amp;$A24&amp;";*",Questions!$B$2:$B$1000,2022,Questions!$C$2:$C$1000,"Oct/Nov",Questions!$D$2:$D$1000,"9708/22")</f>
        <v>2</v>
      </c>
      <c r="P24" s="9" t="n">
        <f aca="false">COUNTIFS(Questions!$R$2:$R$1000,"*;"&amp;$A24&amp;";*",Questions!$B$2:$B$1000,2022,Questions!$C$2:$C$1000,"Oct/Nov",Questions!$D$2:$D$1000,"9708/23")</f>
        <v>2</v>
      </c>
      <c r="Q24" s="9" t="n">
        <f aca="false">COUNTIFS(Questions!$R$2:$R$1000,"*;"&amp;$A24&amp;";*",Questions!$B$2:$B$1000,2023,Questions!$C$2:$C$1000,"Feb/March",Questions!$D$2:$D$1000,"9708/22")</f>
        <v>4</v>
      </c>
      <c r="R24" s="9" t="n">
        <f aca="false">COUNTIFS(Questions!$R$2:$R$1000,"*;"&amp;$A24&amp;";*",Questions!$B$2:$B$1000,2023,Questions!$C$2:$C$1000,"May/June",Questions!$D$2:$D$1000,"9708/21")</f>
        <v>2</v>
      </c>
      <c r="S24" s="9" t="n">
        <f aca="false">COUNTIFS(Questions!$R$2:$R$1000,"*;"&amp;$A24&amp;";*",Questions!$B$2:$B$1000,2023,Questions!$C$2:$C$1000,"May/June",Questions!$D$2:$D$1000,"9708/22")</f>
        <v>3</v>
      </c>
      <c r="T24" s="9" t="n">
        <f aca="false">COUNTIFS(Questions!$R$2:$R$1000,"*;"&amp;$A24&amp;";*",Questions!$B$2:$B$1000,2023,Questions!$C$2:$C$1000,"May/June",Questions!$D$2:$D$1000,"9708/23")</f>
        <v>1</v>
      </c>
      <c r="U24" s="9" t="n">
        <f aca="false">COUNTIFS(Questions!$R$2:$R$1000,"*;"&amp;$A24&amp;";*",Questions!$B$2:$B$1000,2023,Questions!$C$2:$C$1000,"Oct/Nov",Questions!$D$2:$D$1000,"9708/21")</f>
        <v>1</v>
      </c>
      <c r="V24" s="9" t="n">
        <f aca="false">COUNTIFS(Questions!$R$2:$R$1000,"*;"&amp;$A24&amp;";*",Questions!$B$2:$B$1000,2023,Questions!$C$2:$C$1000,"Oct/Nov",Questions!$D$2:$D$1000,"9708/22")</f>
        <v>2</v>
      </c>
      <c r="W24" s="9" t="n">
        <f aca="false">COUNTIFS(Questions!$R$2:$R$1000,"*;"&amp;$A24&amp;";*",Questions!$B$2:$B$1000,2023,Questions!$C$2:$C$1000,"Oct/Nov",Questions!$D$2:$D$1000,"9708/23")</f>
        <v>1</v>
      </c>
      <c r="X24" s="9" t="n">
        <f aca="false">COUNTIFS(Questions!$R$2:$R$1000,"*;"&amp;$A24&amp;";*",Questions!$B$2:$B$1000,2024,Questions!$C$2:$C$1000,"Feb/March",Questions!$D$2:$D$1000,"9708/22")</f>
        <v>1</v>
      </c>
      <c r="Y24" s="9" t="n">
        <f aca="false">COUNTIFS(Questions!$R$2:$R$1000,"*;"&amp;$A24&amp;";*",Questions!$B$2:$B$1000,2024,Questions!$C$2:$C$1000,"May/June",Questions!$D$2:$D$1000,"9708/21")</f>
        <v>1</v>
      </c>
      <c r="Z24" s="9" t="n">
        <f aca="false">COUNTIFS(Questions!$R$2:$R$1000,"*;"&amp;$A24&amp;";*",Questions!$B$2:$B$1000,2024,Questions!$C$2:$C$1000,"May/June",Questions!$D$2:$D$1000,"9708/22")</f>
        <v>5</v>
      </c>
      <c r="AA24" s="9" t="n">
        <f aca="false">COUNTIFS(Questions!$R$2:$R$1000,"*;"&amp;$A24&amp;";*",Questions!$B$2:$B$1000,2024,Questions!$C$2:$C$1000,"May/June",Questions!$D$2:$D$1000,"9708/23")</f>
        <v>4</v>
      </c>
      <c r="AB24" s="9" t="n">
        <f aca="false">COUNTIFS(Questions!$R$2:$R$1000,"*;"&amp;$A24&amp;";*",Questions!$B$2:$B$1000,2024,Questions!$C$2:$C$1000,"Oct/Nov",Questions!$D$2:$D$1000,"9708/21")</f>
        <v>4</v>
      </c>
      <c r="AC24" s="9" t="n">
        <f aca="false">COUNTIFS(Questions!$R$2:$R$1000,"*;"&amp;$A24&amp;";*",Questions!$B$2:$B$1000,2024,Questions!$C$2:$C$1000,"Oct/Nov",Questions!$D$2:$D$1000,"9708/22")</f>
        <v>0</v>
      </c>
      <c r="AD24" s="9" t="n">
        <f aca="false">COUNTIFS(Questions!$R$2:$R$1000,"*;"&amp;$A24&amp;";*",Questions!$B$2:$B$1000,2024,Questions!$C$2:$C$1000,"Oct/Nov",Questions!$D$2:$D$1000,"9708/23")</f>
        <v>2</v>
      </c>
      <c r="AE24" s="9" t="n">
        <f aca="false">COUNTIFS(Questions!$R$2:$R$1000,"*;"&amp;$A24&amp;";*",Questions!$B$2:$B$1000,2025,Questions!$C$2:$C$1000,"May/June",Questions!$D$2:$D$1000,"9708/21")</f>
        <v>5</v>
      </c>
      <c r="AF24" s="9" t="n">
        <f aca="false">COUNTIFS(Questions!$R$2:$R$1000,"*;"&amp;$A24&amp;";*",Questions!$B$2:$B$1000,2025,Questions!$C$2:$C$1000,"May/June",Questions!$D$2:$D$1000,"9708/22")</f>
        <v>2</v>
      </c>
      <c r="AG24" s="9" t="n">
        <f aca="false">COUNTIFS(Questions!$R$2:$R$1000,"*;"&amp;$A24&amp;";*",Questions!$B$2:$B$1000,2025,Questions!$C$2:$C$1000,"May/June",Questions!$D$2:$D$1000,"9708/23")</f>
        <v>1</v>
      </c>
      <c r="AH24" s="9" t="n">
        <f aca="false">COUNTIFS(Questions!$R$2:$R$1000,"*;"&amp;$A24&amp;";*",Questions!$B$2:$B$1000,2025,Questions!$C$2:$C$1000,"May/June",Questions!$D$2:$D$1000,"9708/24")</f>
        <v>3</v>
      </c>
      <c r="AI24" s="9" t="n">
        <f aca="false">COUNTIFS(Questions!$R$2:$R$1000,"*;"&amp;$A24&amp;";*",Questions!$B$2:$B$1000,2025,Questions!$C$2:$C$1000,"Oct/Nov",Questions!$D$2:$D$1000,"9708/21")</f>
        <v>0</v>
      </c>
      <c r="AJ24" s="9" t="n">
        <f aca="false">COUNTIFS(Questions!$R$2:$R$1000,"*;"&amp;$A24&amp;";*",Questions!$B$2:$B$1000,2025,Questions!$C$2:$C$1000,"Oct/Nov",Questions!$D$2:$D$1000,"9708/22")</f>
        <v>2</v>
      </c>
      <c r="AK24" s="9" t="n">
        <f aca="false">COUNTIFS(Questions!$R$2:$R$1000,"*;"&amp;$A24&amp;";*",Questions!$B$2:$B$1000,2025,Questions!$C$2:$C$1000,"Oct/Nov",Questions!$D$2:$D$1000,"9708/23")</f>
        <v>2</v>
      </c>
      <c r="AL24" s="9" t="n">
        <f aca="false">COUNTIFS(Questions!$R$2:$R$1000,"*;"&amp;$A24&amp;";*",Questions!$B$2:$B$1000,2025,Questions!$C$2:$C$1000,"Oct/Nov",Questions!$D$2:$D$1000,"9708/24")</f>
        <v>3</v>
      </c>
      <c r="AM24" s="9" t="n">
        <f aca="false">COUNTIFS(Questions!$R$2:$R$1000,"*;"&amp;$A24&amp;";*",Questions!$B$2:$B$1000,2026,Questions!$C$2:$C$1000,"May/June",Questions!$D$2:$D$1000,"9708/21")</f>
        <v>2</v>
      </c>
      <c r="AN24" s="9" t="n">
        <f aca="false">COUNTIFS(Questions!$R$2:$R$1000,"*;"&amp;$A24&amp;";*",Questions!$B$2:$B$1000,2026,Questions!$C$2:$C$1000,"May/June",Questions!$D$2:$D$1000,"9708/22")</f>
        <v>0</v>
      </c>
      <c r="AO24" s="9" t="n">
        <f aca="false">COUNTIFS(Questions!$R$2:$R$1000,"*;"&amp;$A24&amp;";*",Questions!$B$2:$B$1000,2026,Questions!$C$2:$C$1000,"May/June",Questions!$D$2:$D$1000,"9708/23")</f>
        <v>1</v>
      </c>
      <c r="AP24" s="9" t="n">
        <f aca="false">COUNTIFS(Questions!$R$2:$R$1000,"*;"&amp;$A24&amp;";*",Questions!$B$2:$B$1000,2026,Questions!$C$2:$C$1000,"May/June",Questions!$D$2:$D$1000,"9708/24")</f>
        <v>2</v>
      </c>
      <c r="AQ24" s="9" t="n">
        <f aca="false">SUM(C24:AP24)</f>
        <v>92</v>
      </c>
      <c r="AR24" s="9" t="n">
        <f aca="false">COUNTIF(Questions!$P$2:$P$1000,$A24)</f>
        <v>44</v>
      </c>
      <c r="AS24" s="9" t="n">
        <f aca="false">SUMIF(Questions!$P$2:$P$1000,$A24,Questions!$I$2:$I$1000)</f>
        <v>221</v>
      </c>
    </row>
    <row r="25" customFormat="false" ht="15" hidden="false" customHeight="false" outlineLevel="0" collapsed="false">
      <c r="A25" s="8" t="s">
        <v>1525</v>
      </c>
      <c r="B25" s="8" t="s">
        <v>1526</v>
      </c>
      <c r="C25" s="9" t="n">
        <f aca="false">COUNTIFS(Questions!$R$2:$R$1000,"*;"&amp;$A25&amp;";*",Questions!$B$2:$B$1000,2021,Questions!$C$2:$C$1000,"Feb/March",Questions!$D$2:$D$1000,"9708/22")</f>
        <v>0</v>
      </c>
      <c r="D25" s="9" t="n">
        <f aca="false">COUNTIFS(Questions!$R$2:$R$1000,"*;"&amp;$A25&amp;";*",Questions!$B$2:$B$1000,2021,Questions!$C$2:$C$1000,"May/June",Questions!$D$2:$D$1000,"9708/21")</f>
        <v>0</v>
      </c>
      <c r="E25" s="9" t="n">
        <f aca="false">COUNTIFS(Questions!$R$2:$R$1000,"*;"&amp;$A25&amp;";*",Questions!$B$2:$B$1000,2021,Questions!$C$2:$C$1000,"May/June",Questions!$D$2:$D$1000,"9708/22")</f>
        <v>0</v>
      </c>
      <c r="F25" s="9" t="n">
        <f aca="false">COUNTIFS(Questions!$R$2:$R$1000,"*;"&amp;$A25&amp;";*",Questions!$B$2:$B$1000,2021,Questions!$C$2:$C$1000,"May/June",Questions!$D$2:$D$1000,"9708/23")</f>
        <v>0</v>
      </c>
      <c r="G25" s="9" t="n">
        <f aca="false">COUNTIFS(Questions!$R$2:$R$1000,"*;"&amp;$A25&amp;";*",Questions!$B$2:$B$1000,2021,Questions!$C$2:$C$1000,"Oct/Nov",Questions!$D$2:$D$1000,"9708/21")</f>
        <v>0</v>
      </c>
      <c r="H25" s="9" t="n">
        <f aca="false">COUNTIFS(Questions!$R$2:$R$1000,"*;"&amp;$A25&amp;";*",Questions!$B$2:$B$1000,2021,Questions!$C$2:$C$1000,"Oct/Nov",Questions!$D$2:$D$1000,"9708/22")</f>
        <v>0</v>
      </c>
      <c r="I25" s="9" t="n">
        <f aca="false">COUNTIFS(Questions!$R$2:$R$1000,"*;"&amp;$A25&amp;";*",Questions!$B$2:$B$1000,2021,Questions!$C$2:$C$1000,"Oct/Nov",Questions!$D$2:$D$1000,"9708/23")</f>
        <v>0</v>
      </c>
      <c r="J25" s="9" t="n">
        <f aca="false">COUNTIFS(Questions!$R$2:$R$1000,"*;"&amp;$A25&amp;";*",Questions!$B$2:$B$1000,2022,Questions!$C$2:$C$1000,"Feb/March",Questions!$D$2:$D$1000,"9708/22")</f>
        <v>0</v>
      </c>
      <c r="K25" s="9" t="n">
        <f aca="false">COUNTIFS(Questions!$R$2:$R$1000,"*;"&amp;$A25&amp;";*",Questions!$B$2:$B$1000,2022,Questions!$C$2:$C$1000,"May/June",Questions!$D$2:$D$1000,"9708/21")</f>
        <v>0</v>
      </c>
      <c r="L25" s="9" t="n">
        <f aca="false">COUNTIFS(Questions!$R$2:$R$1000,"*;"&amp;$A25&amp;";*",Questions!$B$2:$B$1000,2022,Questions!$C$2:$C$1000,"May/June",Questions!$D$2:$D$1000,"9708/22")</f>
        <v>0</v>
      </c>
      <c r="M25" s="9" t="n">
        <f aca="false">COUNTIFS(Questions!$R$2:$R$1000,"*;"&amp;$A25&amp;";*",Questions!$B$2:$B$1000,2022,Questions!$C$2:$C$1000,"May/June",Questions!$D$2:$D$1000,"9708/23")</f>
        <v>0</v>
      </c>
      <c r="N25" s="9" t="n">
        <f aca="false">COUNTIFS(Questions!$R$2:$R$1000,"*;"&amp;$A25&amp;";*",Questions!$B$2:$B$1000,2022,Questions!$C$2:$C$1000,"Oct/Nov",Questions!$D$2:$D$1000,"9708/21")</f>
        <v>0</v>
      </c>
      <c r="O25" s="9" t="n">
        <f aca="false">COUNTIFS(Questions!$R$2:$R$1000,"*;"&amp;$A25&amp;";*",Questions!$B$2:$B$1000,2022,Questions!$C$2:$C$1000,"Oct/Nov",Questions!$D$2:$D$1000,"9708/22")</f>
        <v>0</v>
      </c>
      <c r="P25" s="9" t="n">
        <f aca="false">COUNTIFS(Questions!$R$2:$R$1000,"*;"&amp;$A25&amp;";*",Questions!$B$2:$B$1000,2022,Questions!$C$2:$C$1000,"Oct/Nov",Questions!$D$2:$D$1000,"9708/23")</f>
        <v>0</v>
      </c>
      <c r="Q25" s="9" t="n">
        <f aca="false">COUNTIFS(Questions!$R$2:$R$1000,"*;"&amp;$A25&amp;";*",Questions!$B$2:$B$1000,2023,Questions!$C$2:$C$1000,"Feb/March",Questions!$D$2:$D$1000,"9708/22")</f>
        <v>0</v>
      </c>
      <c r="R25" s="9" t="n">
        <f aca="false">COUNTIFS(Questions!$R$2:$R$1000,"*;"&amp;$A25&amp;";*",Questions!$B$2:$B$1000,2023,Questions!$C$2:$C$1000,"May/June",Questions!$D$2:$D$1000,"9708/21")</f>
        <v>0</v>
      </c>
      <c r="S25" s="9" t="n">
        <f aca="false">COUNTIFS(Questions!$R$2:$R$1000,"*;"&amp;$A25&amp;";*",Questions!$B$2:$B$1000,2023,Questions!$C$2:$C$1000,"May/June",Questions!$D$2:$D$1000,"9708/22")</f>
        <v>0</v>
      </c>
      <c r="T25" s="9" t="n">
        <f aca="false">COUNTIFS(Questions!$R$2:$R$1000,"*;"&amp;$A25&amp;";*",Questions!$B$2:$B$1000,2023,Questions!$C$2:$C$1000,"May/June",Questions!$D$2:$D$1000,"9708/23")</f>
        <v>1</v>
      </c>
      <c r="U25" s="9" t="n">
        <f aca="false">COUNTIFS(Questions!$R$2:$R$1000,"*;"&amp;$A25&amp;";*",Questions!$B$2:$B$1000,2023,Questions!$C$2:$C$1000,"Oct/Nov",Questions!$D$2:$D$1000,"9708/21")</f>
        <v>0</v>
      </c>
      <c r="V25" s="9" t="n">
        <f aca="false">COUNTIFS(Questions!$R$2:$R$1000,"*;"&amp;$A25&amp;";*",Questions!$B$2:$B$1000,2023,Questions!$C$2:$C$1000,"Oct/Nov",Questions!$D$2:$D$1000,"9708/22")</f>
        <v>0</v>
      </c>
      <c r="W25" s="9" t="n">
        <f aca="false">COUNTIFS(Questions!$R$2:$R$1000,"*;"&amp;$A25&amp;";*",Questions!$B$2:$B$1000,2023,Questions!$C$2:$C$1000,"Oct/Nov",Questions!$D$2:$D$1000,"9708/23")</f>
        <v>0</v>
      </c>
      <c r="X25" s="9" t="n">
        <f aca="false">COUNTIFS(Questions!$R$2:$R$1000,"*;"&amp;$A25&amp;";*",Questions!$B$2:$B$1000,2024,Questions!$C$2:$C$1000,"Feb/March",Questions!$D$2:$D$1000,"9708/22")</f>
        <v>0</v>
      </c>
      <c r="Y25" s="9" t="n">
        <f aca="false">COUNTIFS(Questions!$R$2:$R$1000,"*;"&amp;$A25&amp;";*",Questions!$B$2:$B$1000,2024,Questions!$C$2:$C$1000,"May/June",Questions!$D$2:$D$1000,"9708/21")</f>
        <v>0</v>
      </c>
      <c r="Z25" s="9" t="n">
        <f aca="false">COUNTIFS(Questions!$R$2:$R$1000,"*;"&amp;$A25&amp;";*",Questions!$B$2:$B$1000,2024,Questions!$C$2:$C$1000,"May/June",Questions!$D$2:$D$1000,"9708/22")</f>
        <v>0</v>
      </c>
      <c r="AA25" s="9" t="n">
        <f aca="false">COUNTIFS(Questions!$R$2:$R$1000,"*;"&amp;$A25&amp;";*",Questions!$B$2:$B$1000,2024,Questions!$C$2:$C$1000,"May/June",Questions!$D$2:$D$1000,"9708/23")</f>
        <v>0</v>
      </c>
      <c r="AB25" s="9" t="n">
        <f aca="false">COUNTIFS(Questions!$R$2:$R$1000,"*;"&amp;$A25&amp;";*",Questions!$B$2:$B$1000,2024,Questions!$C$2:$C$1000,"Oct/Nov",Questions!$D$2:$D$1000,"9708/21")</f>
        <v>0</v>
      </c>
      <c r="AC25" s="9" t="n">
        <f aca="false">COUNTIFS(Questions!$R$2:$R$1000,"*;"&amp;$A25&amp;";*",Questions!$B$2:$B$1000,2024,Questions!$C$2:$C$1000,"Oct/Nov",Questions!$D$2:$D$1000,"9708/22")</f>
        <v>1</v>
      </c>
      <c r="AD25" s="9" t="n">
        <f aca="false">COUNTIFS(Questions!$R$2:$R$1000,"*;"&amp;$A25&amp;";*",Questions!$B$2:$B$1000,2024,Questions!$C$2:$C$1000,"Oct/Nov",Questions!$D$2:$D$1000,"9708/23")</f>
        <v>0</v>
      </c>
      <c r="AE25" s="9" t="n">
        <f aca="false">COUNTIFS(Questions!$R$2:$R$1000,"*;"&amp;$A25&amp;";*",Questions!$B$2:$B$1000,2025,Questions!$C$2:$C$1000,"May/June",Questions!$D$2:$D$1000,"9708/21")</f>
        <v>1</v>
      </c>
      <c r="AF25" s="9" t="n">
        <f aca="false">COUNTIFS(Questions!$R$2:$R$1000,"*;"&amp;$A25&amp;";*",Questions!$B$2:$B$1000,2025,Questions!$C$2:$C$1000,"May/June",Questions!$D$2:$D$1000,"9708/22")</f>
        <v>0</v>
      </c>
      <c r="AG25" s="9" t="n">
        <f aca="false">COUNTIFS(Questions!$R$2:$R$1000,"*;"&amp;$A25&amp;";*",Questions!$B$2:$B$1000,2025,Questions!$C$2:$C$1000,"May/June",Questions!$D$2:$D$1000,"9708/23")</f>
        <v>0</v>
      </c>
      <c r="AH25" s="9" t="n">
        <f aca="false">COUNTIFS(Questions!$R$2:$R$1000,"*;"&amp;$A25&amp;";*",Questions!$B$2:$B$1000,2025,Questions!$C$2:$C$1000,"May/June",Questions!$D$2:$D$1000,"9708/24")</f>
        <v>0</v>
      </c>
      <c r="AI25" s="9" t="n">
        <f aca="false">COUNTIFS(Questions!$R$2:$R$1000,"*;"&amp;$A25&amp;";*",Questions!$B$2:$B$1000,2025,Questions!$C$2:$C$1000,"Oct/Nov",Questions!$D$2:$D$1000,"9708/21")</f>
        <v>0</v>
      </c>
      <c r="AJ25" s="9" t="n">
        <f aca="false">COUNTIFS(Questions!$R$2:$R$1000,"*;"&amp;$A25&amp;";*",Questions!$B$2:$B$1000,2025,Questions!$C$2:$C$1000,"Oct/Nov",Questions!$D$2:$D$1000,"9708/22")</f>
        <v>0</v>
      </c>
      <c r="AK25" s="9" t="n">
        <f aca="false">COUNTIFS(Questions!$R$2:$R$1000,"*;"&amp;$A25&amp;";*",Questions!$B$2:$B$1000,2025,Questions!$C$2:$C$1000,"Oct/Nov",Questions!$D$2:$D$1000,"9708/23")</f>
        <v>0</v>
      </c>
      <c r="AL25" s="9" t="n">
        <f aca="false">COUNTIFS(Questions!$R$2:$R$1000,"*;"&amp;$A25&amp;";*",Questions!$B$2:$B$1000,2025,Questions!$C$2:$C$1000,"Oct/Nov",Questions!$D$2:$D$1000,"9708/24")</f>
        <v>1</v>
      </c>
      <c r="AM25" s="9" t="n">
        <f aca="false">COUNTIFS(Questions!$R$2:$R$1000,"*;"&amp;$A25&amp;";*",Questions!$B$2:$B$1000,2026,Questions!$C$2:$C$1000,"May/June",Questions!$D$2:$D$1000,"9708/21")</f>
        <v>0</v>
      </c>
      <c r="AN25" s="9" t="n">
        <f aca="false">COUNTIFS(Questions!$R$2:$R$1000,"*;"&amp;$A25&amp;";*",Questions!$B$2:$B$1000,2026,Questions!$C$2:$C$1000,"May/June",Questions!$D$2:$D$1000,"9708/22")</f>
        <v>1</v>
      </c>
      <c r="AO25" s="9" t="n">
        <f aca="false">COUNTIFS(Questions!$R$2:$R$1000,"*;"&amp;$A25&amp;";*",Questions!$B$2:$B$1000,2026,Questions!$C$2:$C$1000,"May/June",Questions!$D$2:$D$1000,"9708/23")</f>
        <v>0</v>
      </c>
      <c r="AP25" s="9" t="n">
        <f aca="false">COUNTIFS(Questions!$R$2:$R$1000,"*;"&amp;$A25&amp;";*",Questions!$B$2:$B$1000,2026,Questions!$C$2:$C$1000,"May/June",Questions!$D$2:$D$1000,"9708/24")</f>
        <v>0</v>
      </c>
      <c r="AQ25" s="9" t="n">
        <f aca="false">SUM(C25:AP25)</f>
        <v>5</v>
      </c>
      <c r="AR25" s="9" t="n">
        <f aca="false">COUNTIF(Questions!$P$2:$P$1000,$A25)</f>
        <v>1</v>
      </c>
      <c r="AS25" s="9" t="n">
        <f aca="false">SUMIF(Questions!$P$2:$P$1000,$A25,Questions!$I$2:$I$1000)</f>
        <v>12</v>
      </c>
    </row>
    <row r="26" customFormat="false" ht="15" hidden="false" customHeight="false" outlineLevel="0" collapsed="false">
      <c r="A26" s="8" t="s">
        <v>54</v>
      </c>
      <c r="B26" s="8" t="s">
        <v>55</v>
      </c>
      <c r="C26" s="9" t="n">
        <f aca="false">COUNTIFS(Questions!$R$2:$R$1000,"*;"&amp;$A26&amp;";*",Questions!$B$2:$B$1000,2021,Questions!$C$2:$C$1000,"Feb/March",Questions!$D$2:$D$1000,"9708/22")</f>
        <v>2</v>
      </c>
      <c r="D26" s="9" t="n">
        <f aca="false">COUNTIFS(Questions!$R$2:$R$1000,"*;"&amp;$A26&amp;";*",Questions!$B$2:$B$1000,2021,Questions!$C$2:$C$1000,"May/June",Questions!$D$2:$D$1000,"9708/21")</f>
        <v>0</v>
      </c>
      <c r="E26" s="9" t="n">
        <f aca="false">COUNTIFS(Questions!$R$2:$R$1000,"*;"&amp;$A26&amp;";*",Questions!$B$2:$B$1000,2021,Questions!$C$2:$C$1000,"May/June",Questions!$D$2:$D$1000,"9708/22")</f>
        <v>1</v>
      </c>
      <c r="F26" s="9" t="n">
        <f aca="false">COUNTIFS(Questions!$R$2:$R$1000,"*;"&amp;$A26&amp;";*",Questions!$B$2:$B$1000,2021,Questions!$C$2:$C$1000,"May/June",Questions!$D$2:$D$1000,"9708/23")</f>
        <v>0</v>
      </c>
      <c r="G26" s="9" t="n">
        <f aca="false">COUNTIFS(Questions!$R$2:$R$1000,"*;"&amp;$A26&amp;";*",Questions!$B$2:$B$1000,2021,Questions!$C$2:$C$1000,"Oct/Nov",Questions!$D$2:$D$1000,"9708/21")</f>
        <v>0</v>
      </c>
      <c r="H26" s="9" t="n">
        <f aca="false">COUNTIFS(Questions!$R$2:$R$1000,"*;"&amp;$A26&amp;";*",Questions!$B$2:$B$1000,2021,Questions!$C$2:$C$1000,"Oct/Nov",Questions!$D$2:$D$1000,"9708/22")</f>
        <v>0</v>
      </c>
      <c r="I26" s="9" t="n">
        <f aca="false">COUNTIFS(Questions!$R$2:$R$1000,"*;"&amp;$A26&amp;";*",Questions!$B$2:$B$1000,2021,Questions!$C$2:$C$1000,"Oct/Nov",Questions!$D$2:$D$1000,"9708/23")</f>
        <v>2</v>
      </c>
      <c r="J26" s="9" t="n">
        <f aca="false">COUNTIFS(Questions!$R$2:$R$1000,"*;"&amp;$A26&amp;";*",Questions!$B$2:$B$1000,2022,Questions!$C$2:$C$1000,"Feb/March",Questions!$D$2:$D$1000,"9708/22")</f>
        <v>1</v>
      </c>
      <c r="K26" s="9" t="n">
        <f aca="false">COUNTIFS(Questions!$R$2:$R$1000,"*;"&amp;$A26&amp;";*",Questions!$B$2:$B$1000,2022,Questions!$C$2:$C$1000,"May/June",Questions!$D$2:$D$1000,"9708/21")</f>
        <v>1</v>
      </c>
      <c r="L26" s="9" t="n">
        <f aca="false">COUNTIFS(Questions!$R$2:$R$1000,"*;"&amp;$A26&amp;";*",Questions!$B$2:$B$1000,2022,Questions!$C$2:$C$1000,"May/June",Questions!$D$2:$D$1000,"9708/22")</f>
        <v>1</v>
      </c>
      <c r="M26" s="9" t="n">
        <f aca="false">COUNTIFS(Questions!$R$2:$R$1000,"*;"&amp;$A26&amp;";*",Questions!$B$2:$B$1000,2022,Questions!$C$2:$C$1000,"May/June",Questions!$D$2:$D$1000,"9708/23")</f>
        <v>1</v>
      </c>
      <c r="N26" s="9" t="n">
        <f aca="false">COUNTIFS(Questions!$R$2:$R$1000,"*;"&amp;$A26&amp;";*",Questions!$B$2:$B$1000,2022,Questions!$C$2:$C$1000,"Oct/Nov",Questions!$D$2:$D$1000,"9708/21")</f>
        <v>0</v>
      </c>
      <c r="O26" s="9" t="n">
        <f aca="false">COUNTIFS(Questions!$R$2:$R$1000,"*;"&amp;$A26&amp;";*",Questions!$B$2:$B$1000,2022,Questions!$C$2:$C$1000,"Oct/Nov",Questions!$D$2:$D$1000,"9708/22")</f>
        <v>0</v>
      </c>
      <c r="P26" s="9" t="n">
        <f aca="false">COUNTIFS(Questions!$R$2:$R$1000,"*;"&amp;$A26&amp;";*",Questions!$B$2:$B$1000,2022,Questions!$C$2:$C$1000,"Oct/Nov",Questions!$D$2:$D$1000,"9708/23")</f>
        <v>2</v>
      </c>
      <c r="Q26" s="9" t="n">
        <f aca="false">COUNTIFS(Questions!$R$2:$R$1000,"*;"&amp;$A26&amp;";*",Questions!$B$2:$B$1000,2023,Questions!$C$2:$C$1000,"Feb/March",Questions!$D$2:$D$1000,"9708/22")</f>
        <v>1</v>
      </c>
      <c r="R26" s="9" t="n">
        <f aca="false">COUNTIFS(Questions!$R$2:$R$1000,"*;"&amp;$A26&amp;";*",Questions!$B$2:$B$1000,2023,Questions!$C$2:$C$1000,"May/June",Questions!$D$2:$D$1000,"9708/21")</f>
        <v>1</v>
      </c>
      <c r="S26" s="9" t="n">
        <f aca="false">COUNTIFS(Questions!$R$2:$R$1000,"*;"&amp;$A26&amp;";*",Questions!$B$2:$B$1000,2023,Questions!$C$2:$C$1000,"May/June",Questions!$D$2:$D$1000,"9708/22")</f>
        <v>3</v>
      </c>
      <c r="T26" s="9" t="n">
        <f aca="false">COUNTIFS(Questions!$R$2:$R$1000,"*;"&amp;$A26&amp;";*",Questions!$B$2:$B$1000,2023,Questions!$C$2:$C$1000,"May/June",Questions!$D$2:$D$1000,"9708/23")</f>
        <v>1</v>
      </c>
      <c r="U26" s="9" t="n">
        <f aca="false">COUNTIFS(Questions!$R$2:$R$1000,"*;"&amp;$A26&amp;";*",Questions!$B$2:$B$1000,2023,Questions!$C$2:$C$1000,"Oct/Nov",Questions!$D$2:$D$1000,"9708/21")</f>
        <v>2</v>
      </c>
      <c r="V26" s="9" t="n">
        <f aca="false">COUNTIFS(Questions!$R$2:$R$1000,"*;"&amp;$A26&amp;";*",Questions!$B$2:$B$1000,2023,Questions!$C$2:$C$1000,"Oct/Nov",Questions!$D$2:$D$1000,"9708/22")</f>
        <v>0</v>
      </c>
      <c r="W26" s="9" t="n">
        <f aca="false">COUNTIFS(Questions!$R$2:$R$1000,"*;"&amp;$A26&amp;";*",Questions!$B$2:$B$1000,2023,Questions!$C$2:$C$1000,"Oct/Nov",Questions!$D$2:$D$1000,"9708/23")</f>
        <v>2</v>
      </c>
      <c r="X26" s="9" t="n">
        <f aca="false">COUNTIFS(Questions!$R$2:$R$1000,"*;"&amp;$A26&amp;";*",Questions!$B$2:$B$1000,2024,Questions!$C$2:$C$1000,"Feb/March",Questions!$D$2:$D$1000,"9708/22")</f>
        <v>1</v>
      </c>
      <c r="Y26" s="9" t="n">
        <f aca="false">COUNTIFS(Questions!$R$2:$R$1000,"*;"&amp;$A26&amp;";*",Questions!$B$2:$B$1000,2024,Questions!$C$2:$C$1000,"May/June",Questions!$D$2:$D$1000,"9708/21")</f>
        <v>2</v>
      </c>
      <c r="Z26" s="9" t="n">
        <f aca="false">COUNTIFS(Questions!$R$2:$R$1000,"*;"&amp;$A26&amp;";*",Questions!$B$2:$B$1000,2024,Questions!$C$2:$C$1000,"May/June",Questions!$D$2:$D$1000,"9708/22")</f>
        <v>0</v>
      </c>
      <c r="AA26" s="9" t="n">
        <f aca="false">COUNTIFS(Questions!$R$2:$R$1000,"*;"&amp;$A26&amp;";*",Questions!$B$2:$B$1000,2024,Questions!$C$2:$C$1000,"May/June",Questions!$D$2:$D$1000,"9708/23")</f>
        <v>1</v>
      </c>
      <c r="AB26" s="9" t="n">
        <f aca="false">COUNTIFS(Questions!$R$2:$R$1000,"*;"&amp;$A26&amp;";*",Questions!$B$2:$B$1000,2024,Questions!$C$2:$C$1000,"Oct/Nov",Questions!$D$2:$D$1000,"9708/21")</f>
        <v>1</v>
      </c>
      <c r="AC26" s="9" t="n">
        <f aca="false">COUNTIFS(Questions!$R$2:$R$1000,"*;"&amp;$A26&amp;";*",Questions!$B$2:$B$1000,2024,Questions!$C$2:$C$1000,"Oct/Nov",Questions!$D$2:$D$1000,"9708/22")</f>
        <v>3</v>
      </c>
      <c r="AD26" s="9" t="n">
        <f aca="false">COUNTIFS(Questions!$R$2:$R$1000,"*;"&amp;$A26&amp;";*",Questions!$B$2:$B$1000,2024,Questions!$C$2:$C$1000,"Oct/Nov",Questions!$D$2:$D$1000,"9708/23")</f>
        <v>0</v>
      </c>
      <c r="AE26" s="9" t="n">
        <f aca="false">COUNTIFS(Questions!$R$2:$R$1000,"*;"&amp;$A26&amp;";*",Questions!$B$2:$B$1000,2025,Questions!$C$2:$C$1000,"May/June",Questions!$D$2:$D$1000,"9708/21")</f>
        <v>2</v>
      </c>
      <c r="AF26" s="9" t="n">
        <f aca="false">COUNTIFS(Questions!$R$2:$R$1000,"*;"&amp;$A26&amp;";*",Questions!$B$2:$B$1000,2025,Questions!$C$2:$C$1000,"May/June",Questions!$D$2:$D$1000,"9708/22")</f>
        <v>1</v>
      </c>
      <c r="AG26" s="9" t="n">
        <f aca="false">COUNTIFS(Questions!$R$2:$R$1000,"*;"&amp;$A26&amp;";*",Questions!$B$2:$B$1000,2025,Questions!$C$2:$C$1000,"May/June",Questions!$D$2:$D$1000,"9708/23")</f>
        <v>1</v>
      </c>
      <c r="AH26" s="9" t="n">
        <f aca="false">COUNTIFS(Questions!$R$2:$R$1000,"*;"&amp;$A26&amp;";*",Questions!$B$2:$B$1000,2025,Questions!$C$2:$C$1000,"May/June",Questions!$D$2:$D$1000,"9708/24")</f>
        <v>0</v>
      </c>
      <c r="AI26" s="9" t="n">
        <f aca="false">COUNTIFS(Questions!$R$2:$R$1000,"*;"&amp;$A26&amp;";*",Questions!$B$2:$B$1000,2025,Questions!$C$2:$C$1000,"Oct/Nov",Questions!$D$2:$D$1000,"9708/21")</f>
        <v>0</v>
      </c>
      <c r="AJ26" s="9" t="n">
        <f aca="false">COUNTIFS(Questions!$R$2:$R$1000,"*;"&amp;$A26&amp;";*",Questions!$B$2:$B$1000,2025,Questions!$C$2:$C$1000,"Oct/Nov",Questions!$D$2:$D$1000,"9708/22")</f>
        <v>0</v>
      </c>
      <c r="AK26" s="9" t="n">
        <f aca="false">COUNTIFS(Questions!$R$2:$R$1000,"*;"&amp;$A26&amp;";*",Questions!$B$2:$B$1000,2025,Questions!$C$2:$C$1000,"Oct/Nov",Questions!$D$2:$D$1000,"9708/23")</f>
        <v>2</v>
      </c>
      <c r="AL26" s="9" t="n">
        <f aca="false">COUNTIFS(Questions!$R$2:$R$1000,"*;"&amp;$A26&amp;";*",Questions!$B$2:$B$1000,2025,Questions!$C$2:$C$1000,"Oct/Nov",Questions!$D$2:$D$1000,"9708/24")</f>
        <v>0</v>
      </c>
      <c r="AM26" s="9" t="n">
        <f aca="false">COUNTIFS(Questions!$R$2:$R$1000,"*;"&amp;$A26&amp;";*",Questions!$B$2:$B$1000,2026,Questions!$C$2:$C$1000,"May/June",Questions!$D$2:$D$1000,"9708/21")</f>
        <v>2</v>
      </c>
      <c r="AN26" s="9" t="n">
        <f aca="false">COUNTIFS(Questions!$R$2:$R$1000,"*;"&amp;$A26&amp;";*",Questions!$B$2:$B$1000,2026,Questions!$C$2:$C$1000,"May/June",Questions!$D$2:$D$1000,"9708/22")</f>
        <v>2</v>
      </c>
      <c r="AO26" s="9" t="n">
        <f aca="false">COUNTIFS(Questions!$R$2:$R$1000,"*;"&amp;$A26&amp;";*",Questions!$B$2:$B$1000,2026,Questions!$C$2:$C$1000,"May/June",Questions!$D$2:$D$1000,"9708/23")</f>
        <v>0</v>
      </c>
      <c r="AP26" s="9" t="n">
        <f aca="false">COUNTIFS(Questions!$R$2:$R$1000,"*;"&amp;$A26&amp;";*",Questions!$B$2:$B$1000,2026,Questions!$C$2:$C$1000,"May/June",Questions!$D$2:$D$1000,"9708/24")</f>
        <v>1</v>
      </c>
      <c r="AQ26" s="9" t="n">
        <f aca="false">SUM(C26:AP26)</f>
        <v>40</v>
      </c>
      <c r="AR26" s="9" t="n">
        <f aca="false">COUNTIF(Questions!$P$2:$P$1000,$A26)</f>
        <v>24</v>
      </c>
      <c r="AS26" s="9" t="n">
        <f aca="false">SUMIF(Questions!$P$2:$P$1000,$A26,Questions!$I$2:$I$1000)</f>
        <v>205</v>
      </c>
    </row>
    <row r="27" customFormat="false" ht="15" hidden="false" customHeight="false" outlineLevel="0" collapsed="false">
      <c r="A27" s="8" t="s">
        <v>87</v>
      </c>
      <c r="B27" s="8" t="s">
        <v>88</v>
      </c>
      <c r="C27" s="9" t="n">
        <f aca="false">COUNTIFS(Questions!$R$2:$R$1000,"*;"&amp;$A27&amp;";*",Questions!$B$2:$B$1000,2021,Questions!$C$2:$C$1000,"Feb/March",Questions!$D$2:$D$1000,"9708/22")</f>
        <v>2</v>
      </c>
      <c r="D27" s="9" t="n">
        <f aca="false">COUNTIFS(Questions!$R$2:$R$1000,"*;"&amp;$A27&amp;";*",Questions!$B$2:$B$1000,2021,Questions!$C$2:$C$1000,"May/June",Questions!$D$2:$D$1000,"9708/21")</f>
        <v>1</v>
      </c>
      <c r="E27" s="9" t="n">
        <f aca="false">COUNTIFS(Questions!$R$2:$R$1000,"*;"&amp;$A27&amp;";*",Questions!$B$2:$B$1000,2021,Questions!$C$2:$C$1000,"May/June",Questions!$D$2:$D$1000,"9708/22")</f>
        <v>1</v>
      </c>
      <c r="F27" s="9" t="n">
        <f aca="false">COUNTIFS(Questions!$R$2:$R$1000,"*;"&amp;$A27&amp;";*",Questions!$B$2:$B$1000,2021,Questions!$C$2:$C$1000,"May/June",Questions!$D$2:$D$1000,"9708/23")</f>
        <v>0</v>
      </c>
      <c r="G27" s="9" t="n">
        <f aca="false">COUNTIFS(Questions!$R$2:$R$1000,"*;"&amp;$A27&amp;";*",Questions!$B$2:$B$1000,2021,Questions!$C$2:$C$1000,"Oct/Nov",Questions!$D$2:$D$1000,"9708/21")</f>
        <v>2</v>
      </c>
      <c r="H27" s="9" t="n">
        <f aca="false">COUNTIFS(Questions!$R$2:$R$1000,"*;"&amp;$A27&amp;";*",Questions!$B$2:$B$1000,2021,Questions!$C$2:$C$1000,"Oct/Nov",Questions!$D$2:$D$1000,"9708/22")</f>
        <v>1</v>
      </c>
      <c r="I27" s="9" t="n">
        <f aca="false">COUNTIFS(Questions!$R$2:$R$1000,"*;"&amp;$A27&amp;";*",Questions!$B$2:$B$1000,2021,Questions!$C$2:$C$1000,"Oct/Nov",Questions!$D$2:$D$1000,"9708/23")</f>
        <v>1</v>
      </c>
      <c r="J27" s="9" t="n">
        <f aca="false">COUNTIFS(Questions!$R$2:$R$1000,"*;"&amp;$A27&amp;";*",Questions!$B$2:$B$1000,2022,Questions!$C$2:$C$1000,"Feb/March",Questions!$D$2:$D$1000,"9708/22")</f>
        <v>3</v>
      </c>
      <c r="K27" s="9" t="n">
        <f aca="false">COUNTIFS(Questions!$R$2:$R$1000,"*;"&amp;$A27&amp;";*",Questions!$B$2:$B$1000,2022,Questions!$C$2:$C$1000,"May/June",Questions!$D$2:$D$1000,"9708/21")</f>
        <v>1</v>
      </c>
      <c r="L27" s="9" t="n">
        <f aca="false">COUNTIFS(Questions!$R$2:$R$1000,"*;"&amp;$A27&amp;";*",Questions!$B$2:$B$1000,2022,Questions!$C$2:$C$1000,"May/June",Questions!$D$2:$D$1000,"9708/22")</f>
        <v>0</v>
      </c>
      <c r="M27" s="9" t="n">
        <f aca="false">COUNTIFS(Questions!$R$2:$R$1000,"*;"&amp;$A27&amp;";*",Questions!$B$2:$B$1000,2022,Questions!$C$2:$C$1000,"May/June",Questions!$D$2:$D$1000,"9708/23")</f>
        <v>1</v>
      </c>
      <c r="N27" s="9" t="n">
        <f aca="false">COUNTIFS(Questions!$R$2:$R$1000,"*;"&amp;$A27&amp;";*",Questions!$B$2:$B$1000,2022,Questions!$C$2:$C$1000,"Oct/Nov",Questions!$D$2:$D$1000,"9708/21")</f>
        <v>0</v>
      </c>
      <c r="O27" s="9" t="n">
        <f aca="false">COUNTIFS(Questions!$R$2:$R$1000,"*;"&amp;$A27&amp;";*",Questions!$B$2:$B$1000,2022,Questions!$C$2:$C$1000,"Oct/Nov",Questions!$D$2:$D$1000,"9708/22")</f>
        <v>2</v>
      </c>
      <c r="P27" s="9" t="n">
        <f aca="false">COUNTIFS(Questions!$R$2:$R$1000,"*;"&amp;$A27&amp;";*",Questions!$B$2:$B$1000,2022,Questions!$C$2:$C$1000,"Oct/Nov",Questions!$D$2:$D$1000,"9708/23")</f>
        <v>1</v>
      </c>
      <c r="Q27" s="9" t="n">
        <f aca="false">COUNTIFS(Questions!$R$2:$R$1000,"*;"&amp;$A27&amp;";*",Questions!$B$2:$B$1000,2023,Questions!$C$2:$C$1000,"Feb/March",Questions!$D$2:$D$1000,"9708/22")</f>
        <v>1</v>
      </c>
      <c r="R27" s="9" t="n">
        <f aca="false">COUNTIFS(Questions!$R$2:$R$1000,"*;"&amp;$A27&amp;";*",Questions!$B$2:$B$1000,2023,Questions!$C$2:$C$1000,"May/June",Questions!$D$2:$D$1000,"9708/21")</f>
        <v>1</v>
      </c>
      <c r="S27" s="9" t="n">
        <f aca="false">COUNTIFS(Questions!$R$2:$R$1000,"*;"&amp;$A27&amp;";*",Questions!$B$2:$B$1000,2023,Questions!$C$2:$C$1000,"May/June",Questions!$D$2:$D$1000,"9708/22")</f>
        <v>1</v>
      </c>
      <c r="T27" s="9" t="n">
        <f aca="false">COUNTIFS(Questions!$R$2:$R$1000,"*;"&amp;$A27&amp;";*",Questions!$B$2:$B$1000,2023,Questions!$C$2:$C$1000,"May/June",Questions!$D$2:$D$1000,"9708/23")</f>
        <v>2</v>
      </c>
      <c r="U27" s="9" t="n">
        <f aca="false">COUNTIFS(Questions!$R$2:$R$1000,"*;"&amp;$A27&amp;";*",Questions!$B$2:$B$1000,2023,Questions!$C$2:$C$1000,"Oct/Nov",Questions!$D$2:$D$1000,"9708/21")</f>
        <v>0</v>
      </c>
      <c r="V27" s="9" t="n">
        <f aca="false">COUNTIFS(Questions!$R$2:$R$1000,"*;"&amp;$A27&amp;";*",Questions!$B$2:$B$1000,2023,Questions!$C$2:$C$1000,"Oct/Nov",Questions!$D$2:$D$1000,"9708/22")</f>
        <v>0</v>
      </c>
      <c r="W27" s="9" t="n">
        <f aca="false">COUNTIFS(Questions!$R$2:$R$1000,"*;"&amp;$A27&amp;";*",Questions!$B$2:$B$1000,2023,Questions!$C$2:$C$1000,"Oct/Nov",Questions!$D$2:$D$1000,"9708/23")</f>
        <v>1</v>
      </c>
      <c r="X27" s="9" t="n">
        <f aca="false">COUNTIFS(Questions!$R$2:$R$1000,"*;"&amp;$A27&amp;";*",Questions!$B$2:$B$1000,2024,Questions!$C$2:$C$1000,"Feb/March",Questions!$D$2:$D$1000,"9708/22")</f>
        <v>1</v>
      </c>
      <c r="Y27" s="9" t="n">
        <f aca="false">COUNTIFS(Questions!$R$2:$R$1000,"*;"&amp;$A27&amp;";*",Questions!$B$2:$B$1000,2024,Questions!$C$2:$C$1000,"May/June",Questions!$D$2:$D$1000,"9708/21")</f>
        <v>1</v>
      </c>
      <c r="Z27" s="9" t="n">
        <f aca="false">COUNTIFS(Questions!$R$2:$R$1000,"*;"&amp;$A27&amp;";*",Questions!$B$2:$B$1000,2024,Questions!$C$2:$C$1000,"May/June",Questions!$D$2:$D$1000,"9708/22")</f>
        <v>1</v>
      </c>
      <c r="AA27" s="9" t="n">
        <f aca="false">COUNTIFS(Questions!$R$2:$R$1000,"*;"&amp;$A27&amp;";*",Questions!$B$2:$B$1000,2024,Questions!$C$2:$C$1000,"May/June",Questions!$D$2:$D$1000,"9708/23")</f>
        <v>2</v>
      </c>
      <c r="AB27" s="9" t="n">
        <f aca="false">COUNTIFS(Questions!$R$2:$R$1000,"*;"&amp;$A27&amp;";*",Questions!$B$2:$B$1000,2024,Questions!$C$2:$C$1000,"Oct/Nov",Questions!$D$2:$D$1000,"9708/21")</f>
        <v>2</v>
      </c>
      <c r="AC27" s="9" t="n">
        <f aca="false">COUNTIFS(Questions!$R$2:$R$1000,"*;"&amp;$A27&amp;";*",Questions!$B$2:$B$1000,2024,Questions!$C$2:$C$1000,"Oct/Nov",Questions!$D$2:$D$1000,"9708/22")</f>
        <v>0</v>
      </c>
      <c r="AD27" s="9" t="n">
        <f aca="false">COUNTIFS(Questions!$R$2:$R$1000,"*;"&amp;$A27&amp;";*",Questions!$B$2:$B$1000,2024,Questions!$C$2:$C$1000,"Oct/Nov",Questions!$D$2:$D$1000,"9708/23")</f>
        <v>0</v>
      </c>
      <c r="AE27" s="9" t="n">
        <f aca="false">COUNTIFS(Questions!$R$2:$R$1000,"*;"&amp;$A27&amp;";*",Questions!$B$2:$B$1000,2025,Questions!$C$2:$C$1000,"May/June",Questions!$D$2:$D$1000,"9708/21")</f>
        <v>4</v>
      </c>
      <c r="AF27" s="9" t="n">
        <f aca="false">COUNTIFS(Questions!$R$2:$R$1000,"*;"&amp;$A27&amp;";*",Questions!$B$2:$B$1000,2025,Questions!$C$2:$C$1000,"May/June",Questions!$D$2:$D$1000,"9708/22")</f>
        <v>1</v>
      </c>
      <c r="AG27" s="9" t="n">
        <f aca="false">COUNTIFS(Questions!$R$2:$R$1000,"*;"&amp;$A27&amp;";*",Questions!$B$2:$B$1000,2025,Questions!$C$2:$C$1000,"May/June",Questions!$D$2:$D$1000,"9708/23")</f>
        <v>0</v>
      </c>
      <c r="AH27" s="9" t="n">
        <f aca="false">COUNTIFS(Questions!$R$2:$R$1000,"*;"&amp;$A27&amp;";*",Questions!$B$2:$B$1000,2025,Questions!$C$2:$C$1000,"May/June",Questions!$D$2:$D$1000,"9708/24")</f>
        <v>0</v>
      </c>
      <c r="AI27" s="9" t="n">
        <f aca="false">COUNTIFS(Questions!$R$2:$R$1000,"*;"&amp;$A27&amp;";*",Questions!$B$2:$B$1000,2025,Questions!$C$2:$C$1000,"Oct/Nov",Questions!$D$2:$D$1000,"9708/21")</f>
        <v>0</v>
      </c>
      <c r="AJ27" s="9" t="n">
        <f aca="false">COUNTIFS(Questions!$R$2:$R$1000,"*;"&amp;$A27&amp;";*",Questions!$B$2:$B$1000,2025,Questions!$C$2:$C$1000,"Oct/Nov",Questions!$D$2:$D$1000,"9708/22")</f>
        <v>0</v>
      </c>
      <c r="AK27" s="9" t="n">
        <f aca="false">COUNTIFS(Questions!$R$2:$R$1000,"*;"&amp;$A27&amp;";*",Questions!$B$2:$B$1000,2025,Questions!$C$2:$C$1000,"Oct/Nov",Questions!$D$2:$D$1000,"9708/23")</f>
        <v>1</v>
      </c>
      <c r="AL27" s="9" t="n">
        <f aca="false">COUNTIFS(Questions!$R$2:$R$1000,"*;"&amp;$A27&amp;";*",Questions!$B$2:$B$1000,2025,Questions!$C$2:$C$1000,"Oct/Nov",Questions!$D$2:$D$1000,"9708/24")</f>
        <v>1</v>
      </c>
      <c r="AM27" s="9" t="n">
        <f aca="false">COUNTIFS(Questions!$R$2:$R$1000,"*;"&amp;$A27&amp;";*",Questions!$B$2:$B$1000,2026,Questions!$C$2:$C$1000,"May/June",Questions!$D$2:$D$1000,"9708/21")</f>
        <v>3</v>
      </c>
      <c r="AN27" s="9" t="n">
        <f aca="false">COUNTIFS(Questions!$R$2:$R$1000,"*;"&amp;$A27&amp;";*",Questions!$B$2:$B$1000,2026,Questions!$C$2:$C$1000,"May/June",Questions!$D$2:$D$1000,"9708/22")</f>
        <v>0</v>
      </c>
      <c r="AO27" s="9" t="n">
        <f aca="false">COUNTIFS(Questions!$R$2:$R$1000,"*;"&amp;$A27&amp;";*",Questions!$B$2:$B$1000,2026,Questions!$C$2:$C$1000,"May/June",Questions!$D$2:$D$1000,"9708/23")</f>
        <v>0</v>
      </c>
      <c r="AP27" s="9" t="n">
        <f aca="false">COUNTIFS(Questions!$R$2:$R$1000,"*;"&amp;$A27&amp;";*",Questions!$B$2:$B$1000,2026,Questions!$C$2:$C$1000,"May/June",Questions!$D$2:$D$1000,"9708/24")</f>
        <v>0</v>
      </c>
      <c r="AQ27" s="9" t="n">
        <f aca="false">SUM(C27:AP27)</f>
        <v>39</v>
      </c>
      <c r="AR27" s="9" t="n">
        <f aca="false">COUNTIF(Questions!$P$2:$P$1000,$A27)</f>
        <v>27</v>
      </c>
      <c r="AS27" s="9" t="n">
        <f aca="false">SUMIF(Questions!$P$2:$P$1000,$A27,Questions!$I$2:$I$1000)</f>
        <v>198</v>
      </c>
    </row>
    <row r="28" customFormat="false" ht="15" hidden="false" customHeight="false" outlineLevel="0" collapsed="false">
      <c r="A28" s="8" t="s">
        <v>115</v>
      </c>
      <c r="B28" s="8" t="s">
        <v>116</v>
      </c>
      <c r="C28" s="9" t="n">
        <f aca="false">COUNTIFS(Questions!$R$2:$R$1000,"*;"&amp;$A28&amp;";*",Questions!$B$2:$B$1000,2021,Questions!$C$2:$C$1000,"Feb/March",Questions!$D$2:$D$1000,"9708/22")</f>
        <v>1</v>
      </c>
      <c r="D28" s="9" t="n">
        <f aca="false">COUNTIFS(Questions!$R$2:$R$1000,"*;"&amp;$A28&amp;";*",Questions!$B$2:$B$1000,2021,Questions!$C$2:$C$1000,"May/June",Questions!$D$2:$D$1000,"9708/21")</f>
        <v>0</v>
      </c>
      <c r="E28" s="9" t="n">
        <f aca="false">COUNTIFS(Questions!$R$2:$R$1000,"*;"&amp;$A28&amp;";*",Questions!$B$2:$B$1000,2021,Questions!$C$2:$C$1000,"May/June",Questions!$D$2:$D$1000,"9708/22")</f>
        <v>1</v>
      </c>
      <c r="F28" s="9" t="n">
        <f aca="false">COUNTIFS(Questions!$R$2:$R$1000,"*;"&amp;$A28&amp;";*",Questions!$B$2:$B$1000,2021,Questions!$C$2:$C$1000,"May/June",Questions!$D$2:$D$1000,"9708/23")</f>
        <v>0</v>
      </c>
      <c r="G28" s="9" t="n">
        <f aca="false">COUNTIFS(Questions!$R$2:$R$1000,"*;"&amp;$A28&amp;";*",Questions!$B$2:$B$1000,2021,Questions!$C$2:$C$1000,"Oct/Nov",Questions!$D$2:$D$1000,"9708/21")</f>
        <v>0</v>
      </c>
      <c r="H28" s="9" t="n">
        <f aca="false">COUNTIFS(Questions!$R$2:$R$1000,"*;"&amp;$A28&amp;";*",Questions!$B$2:$B$1000,2021,Questions!$C$2:$C$1000,"Oct/Nov",Questions!$D$2:$D$1000,"9708/22")</f>
        <v>1</v>
      </c>
      <c r="I28" s="9" t="n">
        <f aca="false">COUNTIFS(Questions!$R$2:$R$1000,"*;"&amp;$A28&amp;";*",Questions!$B$2:$B$1000,2021,Questions!$C$2:$C$1000,"Oct/Nov",Questions!$D$2:$D$1000,"9708/23")</f>
        <v>0</v>
      </c>
      <c r="J28" s="9" t="n">
        <f aca="false">COUNTIFS(Questions!$R$2:$R$1000,"*;"&amp;$A28&amp;";*",Questions!$B$2:$B$1000,2022,Questions!$C$2:$C$1000,"Feb/March",Questions!$D$2:$D$1000,"9708/22")</f>
        <v>1</v>
      </c>
      <c r="K28" s="9" t="n">
        <f aca="false">COUNTIFS(Questions!$R$2:$R$1000,"*;"&amp;$A28&amp;";*",Questions!$B$2:$B$1000,2022,Questions!$C$2:$C$1000,"May/June",Questions!$D$2:$D$1000,"9708/21")</f>
        <v>0</v>
      </c>
      <c r="L28" s="9" t="n">
        <f aca="false">COUNTIFS(Questions!$R$2:$R$1000,"*;"&amp;$A28&amp;";*",Questions!$B$2:$B$1000,2022,Questions!$C$2:$C$1000,"May/June",Questions!$D$2:$D$1000,"9708/22")</f>
        <v>0</v>
      </c>
      <c r="M28" s="9" t="n">
        <f aca="false">COUNTIFS(Questions!$R$2:$R$1000,"*;"&amp;$A28&amp;";*",Questions!$B$2:$B$1000,2022,Questions!$C$2:$C$1000,"May/June",Questions!$D$2:$D$1000,"9708/23")</f>
        <v>1</v>
      </c>
      <c r="N28" s="9" t="n">
        <f aca="false">COUNTIFS(Questions!$R$2:$R$1000,"*;"&amp;$A28&amp;";*",Questions!$B$2:$B$1000,2022,Questions!$C$2:$C$1000,"Oct/Nov",Questions!$D$2:$D$1000,"9708/21")</f>
        <v>1</v>
      </c>
      <c r="O28" s="9" t="n">
        <f aca="false">COUNTIFS(Questions!$R$2:$R$1000,"*;"&amp;$A28&amp;";*",Questions!$B$2:$B$1000,2022,Questions!$C$2:$C$1000,"Oct/Nov",Questions!$D$2:$D$1000,"9708/22")</f>
        <v>1</v>
      </c>
      <c r="P28" s="9" t="n">
        <f aca="false">COUNTIFS(Questions!$R$2:$R$1000,"*;"&amp;$A28&amp;";*",Questions!$B$2:$B$1000,2022,Questions!$C$2:$C$1000,"Oct/Nov",Questions!$D$2:$D$1000,"9708/23")</f>
        <v>0</v>
      </c>
      <c r="Q28" s="9" t="n">
        <f aca="false">COUNTIFS(Questions!$R$2:$R$1000,"*;"&amp;$A28&amp;";*",Questions!$B$2:$B$1000,2023,Questions!$C$2:$C$1000,"Feb/March",Questions!$D$2:$D$1000,"9708/22")</f>
        <v>1</v>
      </c>
      <c r="R28" s="9" t="n">
        <f aca="false">COUNTIFS(Questions!$R$2:$R$1000,"*;"&amp;$A28&amp;";*",Questions!$B$2:$B$1000,2023,Questions!$C$2:$C$1000,"May/June",Questions!$D$2:$D$1000,"9708/21")</f>
        <v>2</v>
      </c>
      <c r="S28" s="9" t="n">
        <f aca="false">COUNTIFS(Questions!$R$2:$R$1000,"*;"&amp;$A28&amp;";*",Questions!$B$2:$B$1000,2023,Questions!$C$2:$C$1000,"May/June",Questions!$D$2:$D$1000,"9708/22")</f>
        <v>2</v>
      </c>
      <c r="T28" s="9" t="n">
        <f aca="false">COUNTIFS(Questions!$R$2:$R$1000,"*;"&amp;$A28&amp;";*",Questions!$B$2:$B$1000,2023,Questions!$C$2:$C$1000,"May/June",Questions!$D$2:$D$1000,"9708/23")</f>
        <v>1</v>
      </c>
      <c r="U28" s="9" t="n">
        <f aca="false">COUNTIFS(Questions!$R$2:$R$1000,"*;"&amp;$A28&amp;";*",Questions!$B$2:$B$1000,2023,Questions!$C$2:$C$1000,"Oct/Nov",Questions!$D$2:$D$1000,"9708/21")</f>
        <v>0</v>
      </c>
      <c r="V28" s="9" t="n">
        <f aca="false">COUNTIFS(Questions!$R$2:$R$1000,"*;"&amp;$A28&amp;";*",Questions!$B$2:$B$1000,2023,Questions!$C$2:$C$1000,"Oct/Nov",Questions!$D$2:$D$1000,"9708/22")</f>
        <v>0</v>
      </c>
      <c r="W28" s="9" t="n">
        <f aca="false">COUNTIFS(Questions!$R$2:$R$1000,"*;"&amp;$A28&amp;";*",Questions!$B$2:$B$1000,2023,Questions!$C$2:$C$1000,"Oct/Nov",Questions!$D$2:$D$1000,"9708/23")</f>
        <v>1</v>
      </c>
      <c r="X28" s="9" t="n">
        <f aca="false">COUNTIFS(Questions!$R$2:$R$1000,"*;"&amp;$A28&amp;";*",Questions!$B$2:$B$1000,2024,Questions!$C$2:$C$1000,"Feb/March",Questions!$D$2:$D$1000,"9708/22")</f>
        <v>0</v>
      </c>
      <c r="Y28" s="9" t="n">
        <f aca="false">COUNTIFS(Questions!$R$2:$R$1000,"*;"&amp;$A28&amp;";*",Questions!$B$2:$B$1000,2024,Questions!$C$2:$C$1000,"May/June",Questions!$D$2:$D$1000,"9708/21")</f>
        <v>2</v>
      </c>
      <c r="Z28" s="9" t="n">
        <f aca="false">COUNTIFS(Questions!$R$2:$R$1000,"*;"&amp;$A28&amp;";*",Questions!$B$2:$B$1000,2024,Questions!$C$2:$C$1000,"May/June",Questions!$D$2:$D$1000,"9708/22")</f>
        <v>1</v>
      </c>
      <c r="AA28" s="9" t="n">
        <f aca="false">COUNTIFS(Questions!$R$2:$R$1000,"*;"&amp;$A28&amp;";*",Questions!$B$2:$B$1000,2024,Questions!$C$2:$C$1000,"May/June",Questions!$D$2:$D$1000,"9708/23")</f>
        <v>2</v>
      </c>
      <c r="AB28" s="9" t="n">
        <f aca="false">COUNTIFS(Questions!$R$2:$R$1000,"*;"&amp;$A28&amp;";*",Questions!$B$2:$B$1000,2024,Questions!$C$2:$C$1000,"Oct/Nov",Questions!$D$2:$D$1000,"9708/21")</f>
        <v>0</v>
      </c>
      <c r="AC28" s="9" t="n">
        <f aca="false">COUNTIFS(Questions!$R$2:$R$1000,"*;"&amp;$A28&amp;";*",Questions!$B$2:$B$1000,2024,Questions!$C$2:$C$1000,"Oct/Nov",Questions!$D$2:$D$1000,"9708/22")</f>
        <v>1</v>
      </c>
      <c r="AD28" s="9" t="n">
        <f aca="false">COUNTIFS(Questions!$R$2:$R$1000,"*;"&amp;$A28&amp;";*",Questions!$B$2:$B$1000,2024,Questions!$C$2:$C$1000,"Oct/Nov",Questions!$D$2:$D$1000,"9708/23")</f>
        <v>0</v>
      </c>
      <c r="AE28" s="9" t="n">
        <f aca="false">COUNTIFS(Questions!$R$2:$R$1000,"*;"&amp;$A28&amp;";*",Questions!$B$2:$B$1000,2025,Questions!$C$2:$C$1000,"May/June",Questions!$D$2:$D$1000,"9708/21")</f>
        <v>0</v>
      </c>
      <c r="AF28" s="9" t="n">
        <f aca="false">COUNTIFS(Questions!$R$2:$R$1000,"*;"&amp;$A28&amp;";*",Questions!$B$2:$B$1000,2025,Questions!$C$2:$C$1000,"May/June",Questions!$D$2:$D$1000,"9708/22")</f>
        <v>1</v>
      </c>
      <c r="AG28" s="9" t="n">
        <f aca="false">COUNTIFS(Questions!$R$2:$R$1000,"*;"&amp;$A28&amp;";*",Questions!$B$2:$B$1000,2025,Questions!$C$2:$C$1000,"May/June",Questions!$D$2:$D$1000,"9708/23")</f>
        <v>1</v>
      </c>
      <c r="AH28" s="9" t="n">
        <f aca="false">COUNTIFS(Questions!$R$2:$R$1000,"*;"&amp;$A28&amp;";*",Questions!$B$2:$B$1000,2025,Questions!$C$2:$C$1000,"May/June",Questions!$D$2:$D$1000,"9708/24")</f>
        <v>1</v>
      </c>
      <c r="AI28" s="9" t="n">
        <f aca="false">COUNTIFS(Questions!$R$2:$R$1000,"*;"&amp;$A28&amp;";*",Questions!$B$2:$B$1000,2025,Questions!$C$2:$C$1000,"Oct/Nov",Questions!$D$2:$D$1000,"9708/21")</f>
        <v>0</v>
      </c>
      <c r="AJ28" s="9" t="n">
        <f aca="false">COUNTIFS(Questions!$R$2:$R$1000,"*;"&amp;$A28&amp;";*",Questions!$B$2:$B$1000,2025,Questions!$C$2:$C$1000,"Oct/Nov",Questions!$D$2:$D$1000,"9708/22")</f>
        <v>1</v>
      </c>
      <c r="AK28" s="9" t="n">
        <f aca="false">COUNTIFS(Questions!$R$2:$R$1000,"*;"&amp;$A28&amp;";*",Questions!$B$2:$B$1000,2025,Questions!$C$2:$C$1000,"Oct/Nov",Questions!$D$2:$D$1000,"9708/23")</f>
        <v>2</v>
      </c>
      <c r="AL28" s="9" t="n">
        <f aca="false">COUNTIFS(Questions!$R$2:$R$1000,"*;"&amp;$A28&amp;";*",Questions!$B$2:$B$1000,2025,Questions!$C$2:$C$1000,"Oct/Nov",Questions!$D$2:$D$1000,"9708/24")</f>
        <v>1</v>
      </c>
      <c r="AM28" s="9" t="n">
        <f aca="false">COUNTIFS(Questions!$R$2:$R$1000,"*;"&amp;$A28&amp;";*",Questions!$B$2:$B$1000,2026,Questions!$C$2:$C$1000,"May/June",Questions!$D$2:$D$1000,"9708/21")</f>
        <v>1</v>
      </c>
      <c r="AN28" s="9" t="n">
        <f aca="false">COUNTIFS(Questions!$R$2:$R$1000,"*;"&amp;$A28&amp;";*",Questions!$B$2:$B$1000,2026,Questions!$C$2:$C$1000,"May/June",Questions!$D$2:$D$1000,"9708/22")</f>
        <v>0</v>
      </c>
      <c r="AO28" s="9" t="n">
        <f aca="false">COUNTIFS(Questions!$R$2:$R$1000,"*;"&amp;$A28&amp;";*",Questions!$B$2:$B$1000,2026,Questions!$C$2:$C$1000,"May/June",Questions!$D$2:$D$1000,"9708/23")</f>
        <v>1</v>
      </c>
      <c r="AP28" s="9" t="n">
        <f aca="false">COUNTIFS(Questions!$R$2:$R$1000,"*;"&amp;$A28&amp;";*",Questions!$B$2:$B$1000,2026,Questions!$C$2:$C$1000,"May/June",Questions!$D$2:$D$1000,"9708/24")</f>
        <v>1</v>
      </c>
      <c r="AQ28" s="9" t="n">
        <f aca="false">SUM(C28:AP28)</f>
        <v>30</v>
      </c>
      <c r="AR28" s="9" t="n">
        <f aca="false">COUNTIF(Questions!$P$2:$P$1000,$A28)</f>
        <v>16</v>
      </c>
      <c r="AS28" s="9" t="n">
        <f aca="false">SUMIF(Questions!$P$2:$P$1000,$A28,Questions!$I$2:$I$1000)</f>
        <v>147</v>
      </c>
    </row>
    <row r="29" customFormat="false" ht="15" hidden="false" customHeight="false" outlineLevel="0" collapsed="false">
      <c r="A29" s="8" t="s">
        <v>193</v>
      </c>
      <c r="B29" s="8" t="s">
        <v>194</v>
      </c>
      <c r="C29" s="9" t="n">
        <f aca="false">COUNTIFS(Questions!$R$2:$R$1000,"*;"&amp;$A29&amp;";*",Questions!$B$2:$B$1000,2021,Questions!$C$2:$C$1000,"Feb/March",Questions!$D$2:$D$1000,"9708/22")</f>
        <v>0</v>
      </c>
      <c r="D29" s="9" t="n">
        <f aca="false">COUNTIFS(Questions!$R$2:$R$1000,"*;"&amp;$A29&amp;";*",Questions!$B$2:$B$1000,2021,Questions!$C$2:$C$1000,"May/June",Questions!$D$2:$D$1000,"9708/21")</f>
        <v>1</v>
      </c>
      <c r="E29" s="9" t="n">
        <f aca="false">COUNTIFS(Questions!$R$2:$R$1000,"*;"&amp;$A29&amp;";*",Questions!$B$2:$B$1000,2021,Questions!$C$2:$C$1000,"May/June",Questions!$D$2:$D$1000,"9708/22")</f>
        <v>2</v>
      </c>
      <c r="F29" s="9" t="n">
        <f aca="false">COUNTIFS(Questions!$R$2:$R$1000,"*;"&amp;$A29&amp;";*",Questions!$B$2:$B$1000,2021,Questions!$C$2:$C$1000,"May/June",Questions!$D$2:$D$1000,"9708/23")</f>
        <v>2</v>
      </c>
      <c r="G29" s="9" t="n">
        <f aca="false">COUNTIFS(Questions!$R$2:$R$1000,"*;"&amp;$A29&amp;";*",Questions!$B$2:$B$1000,2021,Questions!$C$2:$C$1000,"Oct/Nov",Questions!$D$2:$D$1000,"9708/21")</f>
        <v>0</v>
      </c>
      <c r="H29" s="9" t="n">
        <f aca="false">COUNTIFS(Questions!$R$2:$R$1000,"*;"&amp;$A29&amp;";*",Questions!$B$2:$B$1000,2021,Questions!$C$2:$C$1000,"Oct/Nov",Questions!$D$2:$D$1000,"9708/22")</f>
        <v>1</v>
      </c>
      <c r="I29" s="9" t="n">
        <f aca="false">COUNTIFS(Questions!$R$2:$R$1000,"*;"&amp;$A29&amp;";*",Questions!$B$2:$B$1000,2021,Questions!$C$2:$C$1000,"Oct/Nov",Questions!$D$2:$D$1000,"9708/23")</f>
        <v>0</v>
      </c>
      <c r="J29" s="9" t="n">
        <f aca="false">COUNTIFS(Questions!$R$2:$R$1000,"*;"&amp;$A29&amp;";*",Questions!$B$2:$B$1000,2022,Questions!$C$2:$C$1000,"Feb/March",Questions!$D$2:$D$1000,"9708/22")</f>
        <v>1</v>
      </c>
      <c r="K29" s="9" t="n">
        <f aca="false">COUNTIFS(Questions!$R$2:$R$1000,"*;"&amp;$A29&amp;";*",Questions!$B$2:$B$1000,2022,Questions!$C$2:$C$1000,"May/June",Questions!$D$2:$D$1000,"9708/21")</f>
        <v>0</v>
      </c>
      <c r="L29" s="9" t="n">
        <f aca="false">COUNTIFS(Questions!$R$2:$R$1000,"*;"&amp;$A29&amp;";*",Questions!$B$2:$B$1000,2022,Questions!$C$2:$C$1000,"May/June",Questions!$D$2:$D$1000,"9708/22")</f>
        <v>1</v>
      </c>
      <c r="M29" s="9" t="n">
        <f aca="false">COUNTIFS(Questions!$R$2:$R$1000,"*;"&amp;$A29&amp;";*",Questions!$B$2:$B$1000,2022,Questions!$C$2:$C$1000,"May/June",Questions!$D$2:$D$1000,"9708/23")</f>
        <v>1</v>
      </c>
      <c r="N29" s="9" t="n">
        <f aca="false">COUNTIFS(Questions!$R$2:$R$1000,"*;"&amp;$A29&amp;";*",Questions!$B$2:$B$1000,2022,Questions!$C$2:$C$1000,"Oct/Nov",Questions!$D$2:$D$1000,"9708/21")</f>
        <v>0</v>
      </c>
      <c r="O29" s="9" t="n">
        <f aca="false">COUNTIFS(Questions!$R$2:$R$1000,"*;"&amp;$A29&amp;";*",Questions!$B$2:$B$1000,2022,Questions!$C$2:$C$1000,"Oct/Nov",Questions!$D$2:$D$1000,"9708/22")</f>
        <v>1</v>
      </c>
      <c r="P29" s="9" t="n">
        <f aca="false">COUNTIFS(Questions!$R$2:$R$1000,"*;"&amp;$A29&amp;";*",Questions!$B$2:$B$1000,2022,Questions!$C$2:$C$1000,"Oct/Nov",Questions!$D$2:$D$1000,"9708/23")</f>
        <v>3</v>
      </c>
      <c r="Q29" s="9" t="n">
        <f aca="false">COUNTIFS(Questions!$R$2:$R$1000,"*;"&amp;$A29&amp;";*",Questions!$B$2:$B$1000,2023,Questions!$C$2:$C$1000,"Feb/March",Questions!$D$2:$D$1000,"9708/22")</f>
        <v>0</v>
      </c>
      <c r="R29" s="9" t="n">
        <f aca="false">COUNTIFS(Questions!$R$2:$R$1000,"*;"&amp;$A29&amp;";*",Questions!$B$2:$B$1000,2023,Questions!$C$2:$C$1000,"May/June",Questions!$D$2:$D$1000,"9708/21")</f>
        <v>1</v>
      </c>
      <c r="S29" s="9" t="n">
        <f aca="false">COUNTIFS(Questions!$R$2:$R$1000,"*;"&amp;$A29&amp;";*",Questions!$B$2:$B$1000,2023,Questions!$C$2:$C$1000,"May/June",Questions!$D$2:$D$1000,"9708/22")</f>
        <v>2</v>
      </c>
      <c r="T29" s="9" t="n">
        <f aca="false">COUNTIFS(Questions!$R$2:$R$1000,"*;"&amp;$A29&amp;";*",Questions!$B$2:$B$1000,2023,Questions!$C$2:$C$1000,"May/June",Questions!$D$2:$D$1000,"9708/23")</f>
        <v>0</v>
      </c>
      <c r="U29" s="9" t="n">
        <f aca="false">COUNTIFS(Questions!$R$2:$R$1000,"*;"&amp;$A29&amp;";*",Questions!$B$2:$B$1000,2023,Questions!$C$2:$C$1000,"Oct/Nov",Questions!$D$2:$D$1000,"9708/21")</f>
        <v>2</v>
      </c>
      <c r="V29" s="9" t="n">
        <f aca="false">COUNTIFS(Questions!$R$2:$R$1000,"*;"&amp;$A29&amp;";*",Questions!$B$2:$B$1000,2023,Questions!$C$2:$C$1000,"Oct/Nov",Questions!$D$2:$D$1000,"9708/22")</f>
        <v>3</v>
      </c>
      <c r="W29" s="9" t="n">
        <f aca="false">COUNTIFS(Questions!$R$2:$R$1000,"*;"&amp;$A29&amp;";*",Questions!$B$2:$B$1000,2023,Questions!$C$2:$C$1000,"Oct/Nov",Questions!$D$2:$D$1000,"9708/23")</f>
        <v>0</v>
      </c>
      <c r="X29" s="9" t="n">
        <f aca="false">COUNTIFS(Questions!$R$2:$R$1000,"*;"&amp;$A29&amp;";*",Questions!$B$2:$B$1000,2024,Questions!$C$2:$C$1000,"Feb/March",Questions!$D$2:$D$1000,"9708/22")</f>
        <v>1</v>
      </c>
      <c r="Y29" s="9" t="n">
        <f aca="false">COUNTIFS(Questions!$R$2:$R$1000,"*;"&amp;$A29&amp;";*",Questions!$B$2:$B$1000,2024,Questions!$C$2:$C$1000,"May/June",Questions!$D$2:$D$1000,"9708/21")</f>
        <v>1</v>
      </c>
      <c r="Z29" s="9" t="n">
        <f aca="false">COUNTIFS(Questions!$R$2:$R$1000,"*;"&amp;$A29&amp;";*",Questions!$B$2:$B$1000,2024,Questions!$C$2:$C$1000,"May/June",Questions!$D$2:$D$1000,"9708/22")</f>
        <v>1</v>
      </c>
      <c r="AA29" s="9" t="n">
        <f aca="false">COUNTIFS(Questions!$R$2:$R$1000,"*;"&amp;$A29&amp;";*",Questions!$B$2:$B$1000,2024,Questions!$C$2:$C$1000,"May/June",Questions!$D$2:$D$1000,"9708/23")</f>
        <v>2</v>
      </c>
      <c r="AB29" s="9" t="n">
        <f aca="false">COUNTIFS(Questions!$R$2:$R$1000,"*;"&amp;$A29&amp;";*",Questions!$B$2:$B$1000,2024,Questions!$C$2:$C$1000,"Oct/Nov",Questions!$D$2:$D$1000,"9708/21")</f>
        <v>1</v>
      </c>
      <c r="AC29" s="9" t="n">
        <f aca="false">COUNTIFS(Questions!$R$2:$R$1000,"*;"&amp;$A29&amp;";*",Questions!$B$2:$B$1000,2024,Questions!$C$2:$C$1000,"Oct/Nov",Questions!$D$2:$D$1000,"9708/22")</f>
        <v>1</v>
      </c>
      <c r="AD29" s="9" t="n">
        <f aca="false">COUNTIFS(Questions!$R$2:$R$1000,"*;"&amp;$A29&amp;";*",Questions!$B$2:$B$1000,2024,Questions!$C$2:$C$1000,"Oct/Nov",Questions!$D$2:$D$1000,"9708/23")</f>
        <v>1</v>
      </c>
      <c r="AE29" s="9" t="n">
        <f aca="false">COUNTIFS(Questions!$R$2:$R$1000,"*;"&amp;$A29&amp;";*",Questions!$B$2:$B$1000,2025,Questions!$C$2:$C$1000,"May/June",Questions!$D$2:$D$1000,"9708/21")</f>
        <v>1</v>
      </c>
      <c r="AF29" s="9" t="n">
        <f aca="false">COUNTIFS(Questions!$R$2:$R$1000,"*;"&amp;$A29&amp;";*",Questions!$B$2:$B$1000,2025,Questions!$C$2:$C$1000,"May/June",Questions!$D$2:$D$1000,"9708/22")</f>
        <v>2</v>
      </c>
      <c r="AG29" s="9" t="n">
        <f aca="false">COUNTIFS(Questions!$R$2:$R$1000,"*;"&amp;$A29&amp;";*",Questions!$B$2:$B$1000,2025,Questions!$C$2:$C$1000,"May/June",Questions!$D$2:$D$1000,"9708/23")</f>
        <v>2</v>
      </c>
      <c r="AH29" s="9" t="n">
        <f aca="false">COUNTIFS(Questions!$R$2:$R$1000,"*;"&amp;$A29&amp;";*",Questions!$B$2:$B$1000,2025,Questions!$C$2:$C$1000,"May/June",Questions!$D$2:$D$1000,"9708/24")</f>
        <v>1</v>
      </c>
      <c r="AI29" s="9" t="n">
        <f aca="false">COUNTIFS(Questions!$R$2:$R$1000,"*;"&amp;$A29&amp;";*",Questions!$B$2:$B$1000,2025,Questions!$C$2:$C$1000,"Oct/Nov",Questions!$D$2:$D$1000,"9708/21")</f>
        <v>1</v>
      </c>
      <c r="AJ29" s="9" t="n">
        <f aca="false">COUNTIFS(Questions!$R$2:$R$1000,"*;"&amp;$A29&amp;";*",Questions!$B$2:$B$1000,2025,Questions!$C$2:$C$1000,"Oct/Nov",Questions!$D$2:$D$1000,"9708/22")</f>
        <v>1</v>
      </c>
      <c r="AK29" s="9" t="n">
        <f aca="false">COUNTIFS(Questions!$R$2:$R$1000,"*;"&amp;$A29&amp;";*",Questions!$B$2:$B$1000,2025,Questions!$C$2:$C$1000,"Oct/Nov",Questions!$D$2:$D$1000,"9708/23")</f>
        <v>0</v>
      </c>
      <c r="AL29" s="9" t="n">
        <f aca="false">COUNTIFS(Questions!$R$2:$R$1000,"*;"&amp;$A29&amp;";*",Questions!$B$2:$B$1000,2025,Questions!$C$2:$C$1000,"Oct/Nov",Questions!$D$2:$D$1000,"9708/24")</f>
        <v>1</v>
      </c>
      <c r="AM29" s="9" t="n">
        <f aca="false">COUNTIFS(Questions!$R$2:$R$1000,"*;"&amp;$A29&amp;";*",Questions!$B$2:$B$1000,2026,Questions!$C$2:$C$1000,"May/June",Questions!$D$2:$D$1000,"9708/21")</f>
        <v>1</v>
      </c>
      <c r="AN29" s="9" t="n">
        <f aca="false">COUNTIFS(Questions!$R$2:$R$1000,"*;"&amp;$A29&amp;";*",Questions!$B$2:$B$1000,2026,Questions!$C$2:$C$1000,"May/June",Questions!$D$2:$D$1000,"9708/22")</f>
        <v>1</v>
      </c>
      <c r="AO29" s="9" t="n">
        <f aca="false">COUNTIFS(Questions!$R$2:$R$1000,"*;"&amp;$A29&amp;";*",Questions!$B$2:$B$1000,2026,Questions!$C$2:$C$1000,"May/June",Questions!$D$2:$D$1000,"9708/23")</f>
        <v>2</v>
      </c>
      <c r="AP29" s="9" t="n">
        <f aca="false">COUNTIFS(Questions!$R$2:$R$1000,"*;"&amp;$A29&amp;";*",Questions!$B$2:$B$1000,2026,Questions!$C$2:$C$1000,"May/June",Questions!$D$2:$D$1000,"9708/24")</f>
        <v>1</v>
      </c>
      <c r="AQ29" s="9" t="n">
        <f aca="false">SUM(C29:AP29)</f>
        <v>43</v>
      </c>
      <c r="AR29" s="9" t="n">
        <f aca="false">COUNTIF(Questions!$P$2:$P$1000,$A29)</f>
        <v>27</v>
      </c>
      <c r="AS29" s="9" t="n">
        <f aca="false">SUMIF(Questions!$P$2:$P$1000,$A29,Questions!$I$2:$I$1000)</f>
        <v>214</v>
      </c>
    </row>
    <row r="30" customFormat="false" ht="15" hidden="false" customHeight="false" outlineLevel="0" collapsed="false">
      <c r="A30" s="8" t="s">
        <v>133</v>
      </c>
      <c r="B30" s="8" t="s">
        <v>134</v>
      </c>
      <c r="C30" s="9" t="n">
        <f aca="false">COUNTIFS(Questions!$R$2:$R$1000,"*;"&amp;$A30&amp;";*",Questions!$B$2:$B$1000,2021,Questions!$C$2:$C$1000,"Feb/March",Questions!$D$2:$D$1000,"9708/22")</f>
        <v>1</v>
      </c>
      <c r="D30" s="9" t="n">
        <f aca="false">COUNTIFS(Questions!$R$2:$R$1000,"*;"&amp;$A30&amp;";*",Questions!$B$2:$B$1000,2021,Questions!$C$2:$C$1000,"May/June",Questions!$D$2:$D$1000,"9708/21")</f>
        <v>1</v>
      </c>
      <c r="E30" s="9" t="n">
        <f aca="false">COUNTIFS(Questions!$R$2:$R$1000,"*;"&amp;$A30&amp;";*",Questions!$B$2:$B$1000,2021,Questions!$C$2:$C$1000,"May/June",Questions!$D$2:$D$1000,"9708/22")</f>
        <v>2</v>
      </c>
      <c r="F30" s="9" t="n">
        <f aca="false">COUNTIFS(Questions!$R$2:$R$1000,"*;"&amp;$A30&amp;";*",Questions!$B$2:$B$1000,2021,Questions!$C$2:$C$1000,"May/June",Questions!$D$2:$D$1000,"9708/23")</f>
        <v>2</v>
      </c>
      <c r="G30" s="9" t="n">
        <f aca="false">COUNTIFS(Questions!$R$2:$R$1000,"*;"&amp;$A30&amp;";*",Questions!$B$2:$B$1000,2021,Questions!$C$2:$C$1000,"Oct/Nov",Questions!$D$2:$D$1000,"9708/21")</f>
        <v>0</v>
      </c>
      <c r="H30" s="9" t="n">
        <f aca="false">COUNTIFS(Questions!$R$2:$R$1000,"*;"&amp;$A30&amp;";*",Questions!$B$2:$B$1000,2021,Questions!$C$2:$C$1000,"Oct/Nov",Questions!$D$2:$D$1000,"9708/22")</f>
        <v>0</v>
      </c>
      <c r="I30" s="9" t="n">
        <f aca="false">COUNTIFS(Questions!$R$2:$R$1000,"*;"&amp;$A30&amp;";*",Questions!$B$2:$B$1000,2021,Questions!$C$2:$C$1000,"Oct/Nov",Questions!$D$2:$D$1000,"9708/23")</f>
        <v>1</v>
      </c>
      <c r="J30" s="9" t="n">
        <f aca="false">COUNTIFS(Questions!$R$2:$R$1000,"*;"&amp;$A30&amp;";*",Questions!$B$2:$B$1000,2022,Questions!$C$2:$C$1000,"Feb/March",Questions!$D$2:$D$1000,"9708/22")</f>
        <v>2</v>
      </c>
      <c r="K30" s="9" t="n">
        <f aca="false">COUNTIFS(Questions!$R$2:$R$1000,"*;"&amp;$A30&amp;";*",Questions!$B$2:$B$1000,2022,Questions!$C$2:$C$1000,"May/June",Questions!$D$2:$D$1000,"9708/21")</f>
        <v>1</v>
      </c>
      <c r="L30" s="9" t="n">
        <f aca="false">COUNTIFS(Questions!$R$2:$R$1000,"*;"&amp;$A30&amp;";*",Questions!$B$2:$B$1000,2022,Questions!$C$2:$C$1000,"May/June",Questions!$D$2:$D$1000,"9708/22")</f>
        <v>0</v>
      </c>
      <c r="M30" s="9" t="n">
        <f aca="false">COUNTIFS(Questions!$R$2:$R$1000,"*;"&amp;$A30&amp;";*",Questions!$B$2:$B$1000,2022,Questions!$C$2:$C$1000,"May/June",Questions!$D$2:$D$1000,"9708/23")</f>
        <v>0</v>
      </c>
      <c r="N30" s="9" t="n">
        <f aca="false">COUNTIFS(Questions!$R$2:$R$1000,"*;"&amp;$A30&amp;";*",Questions!$B$2:$B$1000,2022,Questions!$C$2:$C$1000,"Oct/Nov",Questions!$D$2:$D$1000,"9708/21")</f>
        <v>1</v>
      </c>
      <c r="O30" s="9" t="n">
        <f aca="false">COUNTIFS(Questions!$R$2:$R$1000,"*;"&amp;$A30&amp;";*",Questions!$B$2:$B$1000,2022,Questions!$C$2:$C$1000,"Oct/Nov",Questions!$D$2:$D$1000,"9708/22")</f>
        <v>0</v>
      </c>
      <c r="P30" s="9" t="n">
        <f aca="false">COUNTIFS(Questions!$R$2:$R$1000,"*;"&amp;$A30&amp;";*",Questions!$B$2:$B$1000,2022,Questions!$C$2:$C$1000,"Oct/Nov",Questions!$D$2:$D$1000,"9708/23")</f>
        <v>1</v>
      </c>
      <c r="Q30" s="9" t="n">
        <f aca="false">COUNTIFS(Questions!$R$2:$R$1000,"*;"&amp;$A30&amp;";*",Questions!$B$2:$B$1000,2023,Questions!$C$2:$C$1000,"Feb/March",Questions!$D$2:$D$1000,"9708/22")</f>
        <v>0</v>
      </c>
      <c r="R30" s="9" t="n">
        <f aca="false">COUNTIFS(Questions!$R$2:$R$1000,"*;"&amp;$A30&amp;";*",Questions!$B$2:$B$1000,2023,Questions!$C$2:$C$1000,"May/June",Questions!$D$2:$D$1000,"9708/21")</f>
        <v>1</v>
      </c>
      <c r="S30" s="9" t="n">
        <f aca="false">COUNTIFS(Questions!$R$2:$R$1000,"*;"&amp;$A30&amp;";*",Questions!$B$2:$B$1000,2023,Questions!$C$2:$C$1000,"May/June",Questions!$D$2:$D$1000,"9708/22")</f>
        <v>1</v>
      </c>
      <c r="T30" s="9" t="n">
        <f aca="false">COUNTIFS(Questions!$R$2:$R$1000,"*;"&amp;$A30&amp;";*",Questions!$B$2:$B$1000,2023,Questions!$C$2:$C$1000,"May/June",Questions!$D$2:$D$1000,"9708/23")</f>
        <v>0</v>
      </c>
      <c r="U30" s="9" t="n">
        <f aca="false">COUNTIFS(Questions!$R$2:$R$1000,"*;"&amp;$A30&amp;";*",Questions!$B$2:$B$1000,2023,Questions!$C$2:$C$1000,"Oct/Nov",Questions!$D$2:$D$1000,"9708/21")</f>
        <v>1</v>
      </c>
      <c r="V30" s="9" t="n">
        <f aca="false">COUNTIFS(Questions!$R$2:$R$1000,"*;"&amp;$A30&amp;";*",Questions!$B$2:$B$1000,2023,Questions!$C$2:$C$1000,"Oct/Nov",Questions!$D$2:$D$1000,"9708/22")</f>
        <v>0</v>
      </c>
      <c r="W30" s="9" t="n">
        <f aca="false">COUNTIFS(Questions!$R$2:$R$1000,"*;"&amp;$A30&amp;";*",Questions!$B$2:$B$1000,2023,Questions!$C$2:$C$1000,"Oct/Nov",Questions!$D$2:$D$1000,"9708/23")</f>
        <v>1</v>
      </c>
      <c r="X30" s="9" t="n">
        <f aca="false">COUNTIFS(Questions!$R$2:$R$1000,"*;"&amp;$A30&amp;";*",Questions!$B$2:$B$1000,2024,Questions!$C$2:$C$1000,"Feb/March",Questions!$D$2:$D$1000,"9708/22")</f>
        <v>0</v>
      </c>
      <c r="Y30" s="9" t="n">
        <f aca="false">COUNTIFS(Questions!$R$2:$R$1000,"*;"&amp;$A30&amp;";*",Questions!$B$2:$B$1000,2024,Questions!$C$2:$C$1000,"May/June",Questions!$D$2:$D$1000,"9708/21")</f>
        <v>1</v>
      </c>
      <c r="Z30" s="9" t="n">
        <f aca="false">COUNTIFS(Questions!$R$2:$R$1000,"*;"&amp;$A30&amp;";*",Questions!$B$2:$B$1000,2024,Questions!$C$2:$C$1000,"May/June",Questions!$D$2:$D$1000,"9708/22")</f>
        <v>2</v>
      </c>
      <c r="AA30" s="9" t="n">
        <f aca="false">COUNTIFS(Questions!$R$2:$R$1000,"*;"&amp;$A30&amp;";*",Questions!$B$2:$B$1000,2024,Questions!$C$2:$C$1000,"May/June",Questions!$D$2:$D$1000,"9708/23")</f>
        <v>1</v>
      </c>
      <c r="AB30" s="9" t="n">
        <f aca="false">COUNTIFS(Questions!$R$2:$R$1000,"*;"&amp;$A30&amp;";*",Questions!$B$2:$B$1000,2024,Questions!$C$2:$C$1000,"Oct/Nov",Questions!$D$2:$D$1000,"9708/21")</f>
        <v>1</v>
      </c>
      <c r="AC30" s="9" t="n">
        <f aca="false">COUNTIFS(Questions!$R$2:$R$1000,"*;"&amp;$A30&amp;";*",Questions!$B$2:$B$1000,2024,Questions!$C$2:$C$1000,"Oct/Nov",Questions!$D$2:$D$1000,"9708/22")</f>
        <v>1</v>
      </c>
      <c r="AD30" s="9" t="n">
        <f aca="false">COUNTIFS(Questions!$R$2:$R$1000,"*;"&amp;$A30&amp;";*",Questions!$B$2:$B$1000,2024,Questions!$C$2:$C$1000,"Oct/Nov",Questions!$D$2:$D$1000,"9708/23")</f>
        <v>2</v>
      </c>
      <c r="AE30" s="9" t="n">
        <f aca="false">COUNTIFS(Questions!$R$2:$R$1000,"*;"&amp;$A30&amp;";*",Questions!$B$2:$B$1000,2025,Questions!$C$2:$C$1000,"May/June",Questions!$D$2:$D$1000,"9708/21")</f>
        <v>1</v>
      </c>
      <c r="AF30" s="9" t="n">
        <f aca="false">COUNTIFS(Questions!$R$2:$R$1000,"*;"&amp;$A30&amp;";*",Questions!$B$2:$B$1000,2025,Questions!$C$2:$C$1000,"May/June",Questions!$D$2:$D$1000,"9708/22")</f>
        <v>0</v>
      </c>
      <c r="AG30" s="9" t="n">
        <f aca="false">COUNTIFS(Questions!$R$2:$R$1000,"*;"&amp;$A30&amp;";*",Questions!$B$2:$B$1000,2025,Questions!$C$2:$C$1000,"May/June",Questions!$D$2:$D$1000,"9708/23")</f>
        <v>0</v>
      </c>
      <c r="AH30" s="9" t="n">
        <f aca="false">COUNTIFS(Questions!$R$2:$R$1000,"*;"&amp;$A30&amp;";*",Questions!$B$2:$B$1000,2025,Questions!$C$2:$C$1000,"May/June",Questions!$D$2:$D$1000,"9708/24")</f>
        <v>0</v>
      </c>
      <c r="AI30" s="9" t="n">
        <f aca="false">COUNTIFS(Questions!$R$2:$R$1000,"*;"&amp;$A30&amp;";*",Questions!$B$2:$B$1000,2025,Questions!$C$2:$C$1000,"Oct/Nov",Questions!$D$2:$D$1000,"9708/21")</f>
        <v>2</v>
      </c>
      <c r="AJ30" s="9" t="n">
        <f aca="false">COUNTIFS(Questions!$R$2:$R$1000,"*;"&amp;$A30&amp;";*",Questions!$B$2:$B$1000,2025,Questions!$C$2:$C$1000,"Oct/Nov",Questions!$D$2:$D$1000,"9708/22")</f>
        <v>0</v>
      </c>
      <c r="AK30" s="9" t="n">
        <f aca="false">COUNTIFS(Questions!$R$2:$R$1000,"*;"&amp;$A30&amp;";*",Questions!$B$2:$B$1000,2025,Questions!$C$2:$C$1000,"Oct/Nov",Questions!$D$2:$D$1000,"9708/23")</f>
        <v>1</v>
      </c>
      <c r="AL30" s="9" t="n">
        <f aca="false">COUNTIFS(Questions!$R$2:$R$1000,"*;"&amp;$A30&amp;";*",Questions!$B$2:$B$1000,2025,Questions!$C$2:$C$1000,"Oct/Nov",Questions!$D$2:$D$1000,"9708/24")</f>
        <v>2</v>
      </c>
      <c r="AM30" s="9" t="n">
        <f aca="false">COUNTIFS(Questions!$R$2:$R$1000,"*;"&amp;$A30&amp;";*",Questions!$B$2:$B$1000,2026,Questions!$C$2:$C$1000,"May/June",Questions!$D$2:$D$1000,"9708/21")</f>
        <v>2</v>
      </c>
      <c r="AN30" s="9" t="n">
        <f aca="false">COUNTIFS(Questions!$R$2:$R$1000,"*;"&amp;$A30&amp;";*",Questions!$B$2:$B$1000,2026,Questions!$C$2:$C$1000,"May/June",Questions!$D$2:$D$1000,"9708/22")</f>
        <v>1</v>
      </c>
      <c r="AO30" s="9" t="n">
        <f aca="false">COUNTIFS(Questions!$R$2:$R$1000,"*;"&amp;$A30&amp;";*",Questions!$B$2:$B$1000,2026,Questions!$C$2:$C$1000,"May/June",Questions!$D$2:$D$1000,"9708/23")</f>
        <v>2</v>
      </c>
      <c r="AP30" s="9" t="n">
        <f aca="false">COUNTIFS(Questions!$R$2:$R$1000,"*;"&amp;$A30&amp;";*",Questions!$B$2:$B$1000,2026,Questions!$C$2:$C$1000,"May/June",Questions!$D$2:$D$1000,"9708/24")</f>
        <v>1</v>
      </c>
      <c r="AQ30" s="9" t="n">
        <f aca="false">SUM(C30:AP30)</f>
        <v>36</v>
      </c>
      <c r="AR30" s="9" t="n">
        <f aca="false">COUNTIF(Questions!$P$2:$P$1000,$A30)</f>
        <v>24</v>
      </c>
      <c r="AS30" s="9" t="n">
        <f aca="false">SUMIF(Questions!$P$2:$P$1000,$A30,Questions!$I$2:$I$1000)</f>
        <v>211</v>
      </c>
    </row>
    <row r="31" customFormat="false" ht="15" hidden="false" customHeight="false" outlineLevel="0" collapsed="false">
      <c r="A31" s="8" t="s">
        <v>164</v>
      </c>
      <c r="B31" s="8" t="s">
        <v>165</v>
      </c>
      <c r="C31" s="9" t="n">
        <f aca="false">COUNTIFS(Questions!$R$2:$R$1000,"*;"&amp;$A31&amp;";*",Questions!$B$2:$B$1000,2021,Questions!$C$2:$C$1000,"Feb/March",Questions!$D$2:$D$1000,"9708/22")</f>
        <v>1</v>
      </c>
      <c r="D31" s="9" t="n">
        <f aca="false">COUNTIFS(Questions!$R$2:$R$1000,"*;"&amp;$A31&amp;";*",Questions!$B$2:$B$1000,2021,Questions!$C$2:$C$1000,"May/June",Questions!$D$2:$D$1000,"9708/21")</f>
        <v>4</v>
      </c>
      <c r="E31" s="9" t="n">
        <f aca="false">COUNTIFS(Questions!$R$2:$R$1000,"*;"&amp;$A31&amp;";*",Questions!$B$2:$B$1000,2021,Questions!$C$2:$C$1000,"May/June",Questions!$D$2:$D$1000,"9708/22")</f>
        <v>1</v>
      </c>
      <c r="F31" s="9" t="n">
        <f aca="false">COUNTIFS(Questions!$R$2:$R$1000,"*;"&amp;$A31&amp;";*",Questions!$B$2:$B$1000,2021,Questions!$C$2:$C$1000,"May/June",Questions!$D$2:$D$1000,"9708/23")</f>
        <v>0</v>
      </c>
      <c r="G31" s="9" t="n">
        <f aca="false">COUNTIFS(Questions!$R$2:$R$1000,"*;"&amp;$A31&amp;";*",Questions!$B$2:$B$1000,2021,Questions!$C$2:$C$1000,"Oct/Nov",Questions!$D$2:$D$1000,"9708/21")</f>
        <v>1</v>
      </c>
      <c r="H31" s="9" t="n">
        <f aca="false">COUNTIFS(Questions!$R$2:$R$1000,"*;"&amp;$A31&amp;";*",Questions!$B$2:$B$1000,2021,Questions!$C$2:$C$1000,"Oct/Nov",Questions!$D$2:$D$1000,"9708/22")</f>
        <v>1</v>
      </c>
      <c r="I31" s="9" t="n">
        <f aca="false">COUNTIFS(Questions!$R$2:$R$1000,"*;"&amp;$A31&amp;";*",Questions!$B$2:$B$1000,2021,Questions!$C$2:$C$1000,"Oct/Nov",Questions!$D$2:$D$1000,"9708/23")</f>
        <v>0</v>
      </c>
      <c r="J31" s="9" t="n">
        <f aca="false">COUNTIFS(Questions!$R$2:$R$1000,"*;"&amp;$A31&amp;";*",Questions!$B$2:$B$1000,2022,Questions!$C$2:$C$1000,"Feb/March",Questions!$D$2:$D$1000,"9708/22")</f>
        <v>2</v>
      </c>
      <c r="K31" s="9" t="n">
        <f aca="false">COUNTIFS(Questions!$R$2:$R$1000,"*;"&amp;$A31&amp;";*",Questions!$B$2:$B$1000,2022,Questions!$C$2:$C$1000,"May/June",Questions!$D$2:$D$1000,"9708/21")</f>
        <v>0</v>
      </c>
      <c r="L31" s="9" t="n">
        <f aca="false">COUNTIFS(Questions!$R$2:$R$1000,"*;"&amp;$A31&amp;";*",Questions!$B$2:$B$1000,2022,Questions!$C$2:$C$1000,"May/June",Questions!$D$2:$D$1000,"9708/22")</f>
        <v>2</v>
      </c>
      <c r="M31" s="9" t="n">
        <f aca="false">COUNTIFS(Questions!$R$2:$R$1000,"*;"&amp;$A31&amp;";*",Questions!$B$2:$B$1000,2022,Questions!$C$2:$C$1000,"May/June",Questions!$D$2:$D$1000,"9708/23")</f>
        <v>1</v>
      </c>
      <c r="N31" s="9" t="n">
        <f aca="false">COUNTIFS(Questions!$R$2:$R$1000,"*;"&amp;$A31&amp;";*",Questions!$B$2:$B$1000,2022,Questions!$C$2:$C$1000,"Oct/Nov",Questions!$D$2:$D$1000,"9708/21")</f>
        <v>0</v>
      </c>
      <c r="O31" s="9" t="n">
        <f aca="false">COUNTIFS(Questions!$R$2:$R$1000,"*;"&amp;$A31&amp;";*",Questions!$B$2:$B$1000,2022,Questions!$C$2:$C$1000,"Oct/Nov",Questions!$D$2:$D$1000,"9708/22")</f>
        <v>0</v>
      </c>
      <c r="P31" s="9" t="n">
        <f aca="false">COUNTIFS(Questions!$R$2:$R$1000,"*;"&amp;$A31&amp;";*",Questions!$B$2:$B$1000,2022,Questions!$C$2:$C$1000,"Oct/Nov",Questions!$D$2:$D$1000,"9708/23")</f>
        <v>0</v>
      </c>
      <c r="Q31" s="9" t="n">
        <f aca="false">COUNTIFS(Questions!$R$2:$R$1000,"*;"&amp;$A31&amp;";*",Questions!$B$2:$B$1000,2023,Questions!$C$2:$C$1000,"Feb/March",Questions!$D$2:$D$1000,"9708/22")</f>
        <v>0</v>
      </c>
      <c r="R31" s="9" t="n">
        <f aca="false">COUNTIFS(Questions!$R$2:$R$1000,"*;"&amp;$A31&amp;";*",Questions!$B$2:$B$1000,2023,Questions!$C$2:$C$1000,"May/June",Questions!$D$2:$D$1000,"9708/21")</f>
        <v>0</v>
      </c>
      <c r="S31" s="9" t="n">
        <f aca="false">COUNTIFS(Questions!$R$2:$R$1000,"*;"&amp;$A31&amp;";*",Questions!$B$2:$B$1000,2023,Questions!$C$2:$C$1000,"May/June",Questions!$D$2:$D$1000,"9708/22")</f>
        <v>0</v>
      </c>
      <c r="T31" s="9" t="n">
        <f aca="false">COUNTIFS(Questions!$R$2:$R$1000,"*;"&amp;$A31&amp;";*",Questions!$B$2:$B$1000,2023,Questions!$C$2:$C$1000,"May/June",Questions!$D$2:$D$1000,"9708/23")</f>
        <v>0</v>
      </c>
      <c r="U31" s="9" t="n">
        <f aca="false">COUNTIFS(Questions!$R$2:$R$1000,"*;"&amp;$A31&amp;";*",Questions!$B$2:$B$1000,2023,Questions!$C$2:$C$1000,"Oct/Nov",Questions!$D$2:$D$1000,"9708/21")</f>
        <v>0</v>
      </c>
      <c r="V31" s="9" t="n">
        <f aca="false">COUNTIFS(Questions!$R$2:$R$1000,"*;"&amp;$A31&amp;";*",Questions!$B$2:$B$1000,2023,Questions!$C$2:$C$1000,"Oct/Nov",Questions!$D$2:$D$1000,"9708/22")</f>
        <v>3</v>
      </c>
      <c r="W31" s="9" t="n">
        <f aca="false">COUNTIFS(Questions!$R$2:$R$1000,"*;"&amp;$A31&amp;";*",Questions!$B$2:$B$1000,2023,Questions!$C$2:$C$1000,"Oct/Nov",Questions!$D$2:$D$1000,"9708/23")</f>
        <v>1</v>
      </c>
      <c r="X31" s="9" t="n">
        <f aca="false">COUNTIFS(Questions!$R$2:$R$1000,"*;"&amp;$A31&amp;";*",Questions!$B$2:$B$1000,2024,Questions!$C$2:$C$1000,"Feb/March",Questions!$D$2:$D$1000,"9708/22")</f>
        <v>0</v>
      </c>
      <c r="Y31" s="9" t="n">
        <f aca="false">COUNTIFS(Questions!$R$2:$R$1000,"*;"&amp;$A31&amp;";*",Questions!$B$2:$B$1000,2024,Questions!$C$2:$C$1000,"May/June",Questions!$D$2:$D$1000,"9708/21")</f>
        <v>3</v>
      </c>
      <c r="Z31" s="9" t="n">
        <f aca="false">COUNTIFS(Questions!$R$2:$R$1000,"*;"&amp;$A31&amp;";*",Questions!$B$2:$B$1000,2024,Questions!$C$2:$C$1000,"May/June",Questions!$D$2:$D$1000,"9708/22")</f>
        <v>0</v>
      </c>
      <c r="AA31" s="9" t="n">
        <f aca="false">COUNTIFS(Questions!$R$2:$R$1000,"*;"&amp;$A31&amp;";*",Questions!$B$2:$B$1000,2024,Questions!$C$2:$C$1000,"May/June",Questions!$D$2:$D$1000,"9708/23")</f>
        <v>0</v>
      </c>
      <c r="AB31" s="9" t="n">
        <f aca="false">COUNTIFS(Questions!$R$2:$R$1000,"*;"&amp;$A31&amp;";*",Questions!$B$2:$B$1000,2024,Questions!$C$2:$C$1000,"Oct/Nov",Questions!$D$2:$D$1000,"9708/21")</f>
        <v>1</v>
      </c>
      <c r="AC31" s="9" t="n">
        <f aca="false">COUNTIFS(Questions!$R$2:$R$1000,"*;"&amp;$A31&amp;";*",Questions!$B$2:$B$1000,2024,Questions!$C$2:$C$1000,"Oct/Nov",Questions!$D$2:$D$1000,"9708/22")</f>
        <v>1</v>
      </c>
      <c r="AD31" s="9" t="n">
        <f aca="false">COUNTIFS(Questions!$R$2:$R$1000,"*;"&amp;$A31&amp;";*",Questions!$B$2:$B$1000,2024,Questions!$C$2:$C$1000,"Oct/Nov",Questions!$D$2:$D$1000,"9708/23")</f>
        <v>1</v>
      </c>
      <c r="AE31" s="9" t="n">
        <f aca="false">COUNTIFS(Questions!$R$2:$R$1000,"*;"&amp;$A31&amp;";*",Questions!$B$2:$B$1000,2025,Questions!$C$2:$C$1000,"May/June",Questions!$D$2:$D$1000,"9708/21")</f>
        <v>0</v>
      </c>
      <c r="AF31" s="9" t="n">
        <f aca="false">COUNTIFS(Questions!$R$2:$R$1000,"*;"&amp;$A31&amp;";*",Questions!$B$2:$B$1000,2025,Questions!$C$2:$C$1000,"May/June",Questions!$D$2:$D$1000,"9708/22")</f>
        <v>3</v>
      </c>
      <c r="AG31" s="9" t="n">
        <f aca="false">COUNTIFS(Questions!$R$2:$R$1000,"*;"&amp;$A31&amp;";*",Questions!$B$2:$B$1000,2025,Questions!$C$2:$C$1000,"May/June",Questions!$D$2:$D$1000,"9708/23")</f>
        <v>1</v>
      </c>
      <c r="AH31" s="9" t="n">
        <f aca="false">COUNTIFS(Questions!$R$2:$R$1000,"*;"&amp;$A31&amp;";*",Questions!$B$2:$B$1000,2025,Questions!$C$2:$C$1000,"May/June",Questions!$D$2:$D$1000,"9708/24")</f>
        <v>2</v>
      </c>
      <c r="AI31" s="9" t="n">
        <f aca="false">COUNTIFS(Questions!$R$2:$R$1000,"*;"&amp;$A31&amp;";*",Questions!$B$2:$B$1000,2025,Questions!$C$2:$C$1000,"Oct/Nov",Questions!$D$2:$D$1000,"9708/21")</f>
        <v>1</v>
      </c>
      <c r="AJ31" s="9" t="n">
        <f aca="false">COUNTIFS(Questions!$R$2:$R$1000,"*;"&amp;$A31&amp;";*",Questions!$B$2:$B$1000,2025,Questions!$C$2:$C$1000,"Oct/Nov",Questions!$D$2:$D$1000,"9708/22")</f>
        <v>1</v>
      </c>
      <c r="AK31" s="9" t="n">
        <f aca="false">COUNTIFS(Questions!$R$2:$R$1000,"*;"&amp;$A31&amp;";*",Questions!$B$2:$B$1000,2025,Questions!$C$2:$C$1000,"Oct/Nov",Questions!$D$2:$D$1000,"9708/23")</f>
        <v>1</v>
      </c>
      <c r="AL31" s="9" t="n">
        <f aca="false">COUNTIFS(Questions!$R$2:$R$1000,"*;"&amp;$A31&amp;";*",Questions!$B$2:$B$1000,2025,Questions!$C$2:$C$1000,"Oct/Nov",Questions!$D$2:$D$1000,"9708/24")</f>
        <v>0</v>
      </c>
      <c r="AM31" s="9" t="n">
        <f aca="false">COUNTIFS(Questions!$R$2:$R$1000,"*;"&amp;$A31&amp;";*",Questions!$B$2:$B$1000,2026,Questions!$C$2:$C$1000,"May/June",Questions!$D$2:$D$1000,"9708/21")</f>
        <v>0</v>
      </c>
      <c r="AN31" s="9" t="n">
        <f aca="false">COUNTIFS(Questions!$R$2:$R$1000,"*;"&amp;$A31&amp;";*",Questions!$B$2:$B$1000,2026,Questions!$C$2:$C$1000,"May/June",Questions!$D$2:$D$1000,"9708/22")</f>
        <v>1</v>
      </c>
      <c r="AO31" s="9" t="n">
        <f aca="false">COUNTIFS(Questions!$R$2:$R$1000,"*;"&amp;$A31&amp;";*",Questions!$B$2:$B$1000,2026,Questions!$C$2:$C$1000,"May/June",Questions!$D$2:$D$1000,"9708/23")</f>
        <v>2</v>
      </c>
      <c r="AP31" s="9" t="n">
        <f aca="false">COUNTIFS(Questions!$R$2:$R$1000,"*;"&amp;$A31&amp;";*",Questions!$B$2:$B$1000,2026,Questions!$C$2:$C$1000,"May/June",Questions!$D$2:$D$1000,"9708/24")</f>
        <v>1</v>
      </c>
      <c r="AQ31" s="9" t="n">
        <f aca="false">SUM(C31:AP31)</f>
        <v>36</v>
      </c>
      <c r="AR31" s="9" t="n">
        <f aca="false">COUNTIF(Questions!$P$2:$P$1000,$A31)</f>
        <v>17</v>
      </c>
      <c r="AS31" s="9" t="n">
        <f aca="false">SUMIF(Questions!$P$2:$P$1000,$A31,Questions!$I$2:$I$1000)</f>
        <v>100</v>
      </c>
    </row>
    <row r="32" customFormat="false" ht="15" hidden="false" customHeight="false" outlineLevel="0" collapsed="false">
      <c r="A32" s="8" t="s">
        <v>74</v>
      </c>
      <c r="B32" s="8" t="s">
        <v>75</v>
      </c>
      <c r="C32" s="9" t="n">
        <f aca="false">COUNTIFS(Questions!$R$2:$R$1000,"*;"&amp;$A32&amp;";*",Questions!$B$2:$B$1000,2021,Questions!$C$2:$C$1000,"Feb/March",Questions!$D$2:$D$1000,"9708/22")</f>
        <v>1</v>
      </c>
      <c r="D32" s="9" t="n">
        <f aca="false">COUNTIFS(Questions!$R$2:$R$1000,"*;"&amp;$A32&amp;";*",Questions!$B$2:$B$1000,2021,Questions!$C$2:$C$1000,"May/June",Questions!$D$2:$D$1000,"9708/21")</f>
        <v>2</v>
      </c>
      <c r="E32" s="9" t="n">
        <f aca="false">COUNTIFS(Questions!$R$2:$R$1000,"*;"&amp;$A32&amp;";*",Questions!$B$2:$B$1000,2021,Questions!$C$2:$C$1000,"May/June",Questions!$D$2:$D$1000,"9708/22")</f>
        <v>0</v>
      </c>
      <c r="F32" s="9" t="n">
        <f aca="false">COUNTIFS(Questions!$R$2:$R$1000,"*;"&amp;$A32&amp;";*",Questions!$B$2:$B$1000,2021,Questions!$C$2:$C$1000,"May/June",Questions!$D$2:$D$1000,"9708/23")</f>
        <v>0</v>
      </c>
      <c r="G32" s="9" t="n">
        <f aca="false">COUNTIFS(Questions!$R$2:$R$1000,"*;"&amp;$A32&amp;";*",Questions!$B$2:$B$1000,2021,Questions!$C$2:$C$1000,"Oct/Nov",Questions!$D$2:$D$1000,"9708/21")</f>
        <v>1</v>
      </c>
      <c r="H32" s="9" t="n">
        <f aca="false">COUNTIFS(Questions!$R$2:$R$1000,"*;"&amp;$A32&amp;";*",Questions!$B$2:$B$1000,2021,Questions!$C$2:$C$1000,"Oct/Nov",Questions!$D$2:$D$1000,"9708/22")</f>
        <v>0</v>
      </c>
      <c r="I32" s="9" t="n">
        <f aca="false">COUNTIFS(Questions!$R$2:$R$1000,"*;"&amp;$A32&amp;";*",Questions!$B$2:$B$1000,2021,Questions!$C$2:$C$1000,"Oct/Nov",Questions!$D$2:$D$1000,"9708/23")</f>
        <v>0</v>
      </c>
      <c r="J32" s="9" t="n">
        <f aca="false">COUNTIFS(Questions!$R$2:$R$1000,"*;"&amp;$A32&amp;";*",Questions!$B$2:$B$1000,2022,Questions!$C$2:$C$1000,"Feb/March",Questions!$D$2:$D$1000,"9708/22")</f>
        <v>0</v>
      </c>
      <c r="K32" s="9" t="n">
        <f aca="false">COUNTIFS(Questions!$R$2:$R$1000,"*;"&amp;$A32&amp;";*",Questions!$B$2:$B$1000,2022,Questions!$C$2:$C$1000,"May/June",Questions!$D$2:$D$1000,"9708/21")</f>
        <v>1</v>
      </c>
      <c r="L32" s="9" t="n">
        <f aca="false">COUNTIFS(Questions!$R$2:$R$1000,"*;"&amp;$A32&amp;";*",Questions!$B$2:$B$1000,2022,Questions!$C$2:$C$1000,"May/June",Questions!$D$2:$D$1000,"9708/22")</f>
        <v>1</v>
      </c>
      <c r="M32" s="9" t="n">
        <f aca="false">COUNTIFS(Questions!$R$2:$R$1000,"*;"&amp;$A32&amp;";*",Questions!$B$2:$B$1000,2022,Questions!$C$2:$C$1000,"May/June",Questions!$D$2:$D$1000,"9708/23")</f>
        <v>0</v>
      </c>
      <c r="N32" s="9" t="n">
        <f aca="false">COUNTIFS(Questions!$R$2:$R$1000,"*;"&amp;$A32&amp;";*",Questions!$B$2:$B$1000,2022,Questions!$C$2:$C$1000,"Oct/Nov",Questions!$D$2:$D$1000,"9708/21")</f>
        <v>1</v>
      </c>
      <c r="O32" s="9" t="n">
        <f aca="false">COUNTIFS(Questions!$R$2:$R$1000,"*;"&amp;$A32&amp;";*",Questions!$B$2:$B$1000,2022,Questions!$C$2:$C$1000,"Oct/Nov",Questions!$D$2:$D$1000,"9708/22")</f>
        <v>1</v>
      </c>
      <c r="P32" s="9" t="n">
        <f aca="false">COUNTIFS(Questions!$R$2:$R$1000,"*;"&amp;$A32&amp;";*",Questions!$B$2:$B$1000,2022,Questions!$C$2:$C$1000,"Oct/Nov",Questions!$D$2:$D$1000,"9708/23")</f>
        <v>1</v>
      </c>
      <c r="Q32" s="9" t="n">
        <f aca="false">COUNTIFS(Questions!$R$2:$R$1000,"*;"&amp;$A32&amp;";*",Questions!$B$2:$B$1000,2023,Questions!$C$2:$C$1000,"Feb/March",Questions!$D$2:$D$1000,"9708/22")</f>
        <v>1</v>
      </c>
      <c r="R32" s="9" t="n">
        <f aca="false">COUNTIFS(Questions!$R$2:$R$1000,"*;"&amp;$A32&amp;";*",Questions!$B$2:$B$1000,2023,Questions!$C$2:$C$1000,"May/June",Questions!$D$2:$D$1000,"9708/21")</f>
        <v>1</v>
      </c>
      <c r="S32" s="9" t="n">
        <f aca="false">COUNTIFS(Questions!$R$2:$R$1000,"*;"&amp;$A32&amp;";*",Questions!$B$2:$B$1000,2023,Questions!$C$2:$C$1000,"May/June",Questions!$D$2:$D$1000,"9708/22")</f>
        <v>1</v>
      </c>
      <c r="T32" s="9" t="n">
        <f aca="false">COUNTIFS(Questions!$R$2:$R$1000,"*;"&amp;$A32&amp;";*",Questions!$B$2:$B$1000,2023,Questions!$C$2:$C$1000,"May/June",Questions!$D$2:$D$1000,"9708/23")</f>
        <v>0</v>
      </c>
      <c r="U32" s="9" t="n">
        <f aca="false">COUNTIFS(Questions!$R$2:$R$1000,"*;"&amp;$A32&amp;";*",Questions!$B$2:$B$1000,2023,Questions!$C$2:$C$1000,"Oct/Nov",Questions!$D$2:$D$1000,"9708/21")</f>
        <v>2</v>
      </c>
      <c r="V32" s="9" t="n">
        <f aca="false">COUNTIFS(Questions!$R$2:$R$1000,"*;"&amp;$A32&amp;";*",Questions!$B$2:$B$1000,2023,Questions!$C$2:$C$1000,"Oct/Nov",Questions!$D$2:$D$1000,"9708/22")</f>
        <v>0</v>
      </c>
      <c r="W32" s="9" t="n">
        <f aca="false">COUNTIFS(Questions!$R$2:$R$1000,"*;"&amp;$A32&amp;";*",Questions!$B$2:$B$1000,2023,Questions!$C$2:$C$1000,"Oct/Nov",Questions!$D$2:$D$1000,"9708/23")</f>
        <v>0</v>
      </c>
      <c r="X32" s="9" t="n">
        <f aca="false">COUNTIFS(Questions!$R$2:$R$1000,"*;"&amp;$A32&amp;";*",Questions!$B$2:$B$1000,2024,Questions!$C$2:$C$1000,"Feb/March",Questions!$D$2:$D$1000,"9708/22")</f>
        <v>1</v>
      </c>
      <c r="Y32" s="9" t="n">
        <f aca="false">COUNTIFS(Questions!$R$2:$R$1000,"*;"&amp;$A32&amp;";*",Questions!$B$2:$B$1000,2024,Questions!$C$2:$C$1000,"May/June",Questions!$D$2:$D$1000,"9708/21")</f>
        <v>1</v>
      </c>
      <c r="Z32" s="9" t="n">
        <f aca="false">COUNTIFS(Questions!$R$2:$R$1000,"*;"&amp;$A32&amp;";*",Questions!$B$2:$B$1000,2024,Questions!$C$2:$C$1000,"May/June",Questions!$D$2:$D$1000,"9708/22")</f>
        <v>0</v>
      </c>
      <c r="AA32" s="9" t="n">
        <f aca="false">COUNTIFS(Questions!$R$2:$R$1000,"*;"&amp;$A32&amp;";*",Questions!$B$2:$B$1000,2024,Questions!$C$2:$C$1000,"May/June",Questions!$D$2:$D$1000,"9708/23")</f>
        <v>2</v>
      </c>
      <c r="AB32" s="9" t="n">
        <f aca="false">COUNTIFS(Questions!$R$2:$R$1000,"*;"&amp;$A32&amp;";*",Questions!$B$2:$B$1000,2024,Questions!$C$2:$C$1000,"Oct/Nov",Questions!$D$2:$D$1000,"9708/21")</f>
        <v>0</v>
      </c>
      <c r="AC32" s="9" t="n">
        <f aca="false">COUNTIFS(Questions!$R$2:$R$1000,"*;"&amp;$A32&amp;";*",Questions!$B$2:$B$1000,2024,Questions!$C$2:$C$1000,"Oct/Nov",Questions!$D$2:$D$1000,"9708/22")</f>
        <v>0</v>
      </c>
      <c r="AD32" s="9" t="n">
        <f aca="false">COUNTIFS(Questions!$R$2:$R$1000,"*;"&amp;$A32&amp;";*",Questions!$B$2:$B$1000,2024,Questions!$C$2:$C$1000,"Oct/Nov",Questions!$D$2:$D$1000,"9708/23")</f>
        <v>0</v>
      </c>
      <c r="AE32" s="9" t="n">
        <f aca="false">COUNTIFS(Questions!$R$2:$R$1000,"*;"&amp;$A32&amp;";*",Questions!$B$2:$B$1000,2025,Questions!$C$2:$C$1000,"May/June",Questions!$D$2:$D$1000,"9708/21")</f>
        <v>0</v>
      </c>
      <c r="AF32" s="9" t="n">
        <f aca="false">COUNTIFS(Questions!$R$2:$R$1000,"*;"&amp;$A32&amp;";*",Questions!$B$2:$B$1000,2025,Questions!$C$2:$C$1000,"May/June",Questions!$D$2:$D$1000,"9708/22")</f>
        <v>2</v>
      </c>
      <c r="AG32" s="9" t="n">
        <f aca="false">COUNTIFS(Questions!$R$2:$R$1000,"*;"&amp;$A32&amp;";*",Questions!$B$2:$B$1000,2025,Questions!$C$2:$C$1000,"May/June",Questions!$D$2:$D$1000,"9708/23")</f>
        <v>0</v>
      </c>
      <c r="AH32" s="9" t="n">
        <f aca="false">COUNTIFS(Questions!$R$2:$R$1000,"*;"&amp;$A32&amp;";*",Questions!$B$2:$B$1000,2025,Questions!$C$2:$C$1000,"May/June",Questions!$D$2:$D$1000,"9708/24")</f>
        <v>1</v>
      </c>
      <c r="AI32" s="9" t="n">
        <f aca="false">COUNTIFS(Questions!$R$2:$R$1000,"*;"&amp;$A32&amp;";*",Questions!$B$2:$B$1000,2025,Questions!$C$2:$C$1000,"Oct/Nov",Questions!$D$2:$D$1000,"9708/21")</f>
        <v>0</v>
      </c>
      <c r="AJ32" s="9" t="n">
        <f aca="false">COUNTIFS(Questions!$R$2:$R$1000,"*;"&amp;$A32&amp;";*",Questions!$B$2:$B$1000,2025,Questions!$C$2:$C$1000,"Oct/Nov",Questions!$D$2:$D$1000,"9708/22")</f>
        <v>1</v>
      </c>
      <c r="AK32" s="9" t="n">
        <f aca="false">COUNTIFS(Questions!$R$2:$R$1000,"*;"&amp;$A32&amp;";*",Questions!$B$2:$B$1000,2025,Questions!$C$2:$C$1000,"Oct/Nov",Questions!$D$2:$D$1000,"9708/23")</f>
        <v>0</v>
      </c>
      <c r="AL32" s="9" t="n">
        <f aca="false">COUNTIFS(Questions!$R$2:$R$1000,"*;"&amp;$A32&amp;";*",Questions!$B$2:$B$1000,2025,Questions!$C$2:$C$1000,"Oct/Nov",Questions!$D$2:$D$1000,"9708/24")</f>
        <v>0</v>
      </c>
      <c r="AM32" s="9" t="n">
        <f aca="false">COUNTIFS(Questions!$R$2:$R$1000,"*;"&amp;$A32&amp;";*",Questions!$B$2:$B$1000,2026,Questions!$C$2:$C$1000,"May/June",Questions!$D$2:$D$1000,"9708/21")</f>
        <v>1</v>
      </c>
      <c r="AN32" s="9" t="n">
        <f aca="false">COUNTIFS(Questions!$R$2:$R$1000,"*;"&amp;$A32&amp;";*",Questions!$B$2:$B$1000,2026,Questions!$C$2:$C$1000,"May/June",Questions!$D$2:$D$1000,"9708/22")</f>
        <v>0</v>
      </c>
      <c r="AO32" s="9" t="n">
        <f aca="false">COUNTIFS(Questions!$R$2:$R$1000,"*;"&amp;$A32&amp;";*",Questions!$B$2:$B$1000,2026,Questions!$C$2:$C$1000,"May/June",Questions!$D$2:$D$1000,"9708/23")</f>
        <v>1</v>
      </c>
      <c r="AP32" s="9" t="n">
        <f aca="false">COUNTIFS(Questions!$R$2:$R$1000,"*;"&amp;$A32&amp;";*",Questions!$B$2:$B$1000,2026,Questions!$C$2:$C$1000,"May/June",Questions!$D$2:$D$1000,"9708/24")</f>
        <v>1</v>
      </c>
      <c r="AQ32" s="9" t="n">
        <f aca="false">SUM(C32:AP32)</f>
        <v>25</v>
      </c>
      <c r="AR32" s="9" t="n">
        <f aca="false">COUNTIF(Questions!$P$2:$P$1000,$A32)</f>
        <v>20</v>
      </c>
      <c r="AS32" s="9" t="n">
        <f aca="false">SUMIF(Questions!$P$2:$P$1000,$A32,Questions!$I$2:$I$1000)</f>
        <v>124</v>
      </c>
    </row>
    <row r="33" customFormat="false" ht="15" hidden="false" customHeight="false" outlineLevel="0" collapsed="false">
      <c r="A33" s="8" t="s">
        <v>466</v>
      </c>
      <c r="B33" s="8" t="s">
        <v>467</v>
      </c>
      <c r="C33" s="9" t="n">
        <f aca="false">COUNTIFS(Questions!$R$2:$R$1000,"*;"&amp;$A33&amp;";*",Questions!$B$2:$B$1000,2021,Questions!$C$2:$C$1000,"Feb/March",Questions!$D$2:$D$1000,"9708/22")</f>
        <v>0</v>
      </c>
      <c r="D33" s="9" t="n">
        <f aca="false">COUNTIFS(Questions!$R$2:$R$1000,"*;"&amp;$A33&amp;";*",Questions!$B$2:$B$1000,2021,Questions!$C$2:$C$1000,"May/June",Questions!$D$2:$D$1000,"9708/21")</f>
        <v>0</v>
      </c>
      <c r="E33" s="9" t="n">
        <f aca="false">COUNTIFS(Questions!$R$2:$R$1000,"*;"&amp;$A33&amp;";*",Questions!$B$2:$B$1000,2021,Questions!$C$2:$C$1000,"May/June",Questions!$D$2:$D$1000,"9708/22")</f>
        <v>0</v>
      </c>
      <c r="F33" s="9" t="n">
        <f aca="false">COUNTIFS(Questions!$R$2:$R$1000,"*;"&amp;$A33&amp;";*",Questions!$B$2:$B$1000,2021,Questions!$C$2:$C$1000,"May/June",Questions!$D$2:$D$1000,"9708/23")</f>
        <v>0</v>
      </c>
      <c r="G33" s="9" t="n">
        <f aca="false">COUNTIFS(Questions!$R$2:$R$1000,"*;"&amp;$A33&amp;";*",Questions!$B$2:$B$1000,2021,Questions!$C$2:$C$1000,"Oct/Nov",Questions!$D$2:$D$1000,"9708/21")</f>
        <v>1</v>
      </c>
      <c r="H33" s="9" t="n">
        <f aca="false">COUNTIFS(Questions!$R$2:$R$1000,"*;"&amp;$A33&amp;";*",Questions!$B$2:$B$1000,2021,Questions!$C$2:$C$1000,"Oct/Nov",Questions!$D$2:$D$1000,"9708/22")</f>
        <v>0</v>
      </c>
      <c r="I33" s="9" t="n">
        <f aca="false">COUNTIFS(Questions!$R$2:$R$1000,"*;"&amp;$A33&amp;";*",Questions!$B$2:$B$1000,2021,Questions!$C$2:$C$1000,"Oct/Nov",Questions!$D$2:$D$1000,"9708/23")</f>
        <v>0</v>
      </c>
      <c r="J33" s="9" t="n">
        <f aca="false">COUNTIFS(Questions!$R$2:$R$1000,"*;"&amp;$A33&amp;";*",Questions!$B$2:$B$1000,2022,Questions!$C$2:$C$1000,"Feb/March",Questions!$D$2:$D$1000,"9708/22")</f>
        <v>0</v>
      </c>
      <c r="K33" s="9" t="n">
        <f aca="false">COUNTIFS(Questions!$R$2:$R$1000,"*;"&amp;$A33&amp;";*",Questions!$B$2:$B$1000,2022,Questions!$C$2:$C$1000,"May/June",Questions!$D$2:$D$1000,"9708/21")</f>
        <v>0</v>
      </c>
      <c r="L33" s="9" t="n">
        <f aca="false">COUNTIFS(Questions!$R$2:$R$1000,"*;"&amp;$A33&amp;";*",Questions!$B$2:$B$1000,2022,Questions!$C$2:$C$1000,"May/June",Questions!$D$2:$D$1000,"9708/22")</f>
        <v>1</v>
      </c>
      <c r="M33" s="9" t="n">
        <f aca="false">COUNTIFS(Questions!$R$2:$R$1000,"*;"&amp;$A33&amp;";*",Questions!$B$2:$B$1000,2022,Questions!$C$2:$C$1000,"May/June",Questions!$D$2:$D$1000,"9708/23")</f>
        <v>1</v>
      </c>
      <c r="N33" s="9" t="n">
        <f aca="false">COUNTIFS(Questions!$R$2:$R$1000,"*;"&amp;$A33&amp;";*",Questions!$B$2:$B$1000,2022,Questions!$C$2:$C$1000,"Oct/Nov",Questions!$D$2:$D$1000,"9708/21")</f>
        <v>1</v>
      </c>
      <c r="O33" s="9" t="n">
        <f aca="false">COUNTIFS(Questions!$R$2:$R$1000,"*;"&amp;$A33&amp;";*",Questions!$B$2:$B$1000,2022,Questions!$C$2:$C$1000,"Oct/Nov",Questions!$D$2:$D$1000,"9708/22")</f>
        <v>0</v>
      </c>
      <c r="P33" s="9" t="n">
        <f aca="false">COUNTIFS(Questions!$R$2:$R$1000,"*;"&amp;$A33&amp;";*",Questions!$B$2:$B$1000,2022,Questions!$C$2:$C$1000,"Oct/Nov",Questions!$D$2:$D$1000,"9708/23")</f>
        <v>0</v>
      </c>
      <c r="Q33" s="9" t="n">
        <f aca="false">COUNTIFS(Questions!$R$2:$R$1000,"*;"&amp;$A33&amp;";*",Questions!$B$2:$B$1000,2023,Questions!$C$2:$C$1000,"Feb/March",Questions!$D$2:$D$1000,"9708/22")</f>
        <v>1</v>
      </c>
      <c r="R33" s="9" t="n">
        <f aca="false">COUNTIFS(Questions!$R$2:$R$1000,"*;"&amp;$A33&amp;";*",Questions!$B$2:$B$1000,2023,Questions!$C$2:$C$1000,"May/June",Questions!$D$2:$D$1000,"9708/21")</f>
        <v>0</v>
      </c>
      <c r="S33" s="9" t="n">
        <f aca="false">COUNTIFS(Questions!$R$2:$R$1000,"*;"&amp;$A33&amp;";*",Questions!$B$2:$B$1000,2023,Questions!$C$2:$C$1000,"May/June",Questions!$D$2:$D$1000,"9708/22")</f>
        <v>1</v>
      </c>
      <c r="T33" s="9" t="n">
        <f aca="false">COUNTIFS(Questions!$R$2:$R$1000,"*;"&amp;$A33&amp;";*",Questions!$B$2:$B$1000,2023,Questions!$C$2:$C$1000,"May/June",Questions!$D$2:$D$1000,"9708/23")</f>
        <v>0</v>
      </c>
      <c r="U33" s="9" t="n">
        <f aca="false">COUNTIFS(Questions!$R$2:$R$1000,"*;"&amp;$A33&amp;";*",Questions!$B$2:$B$1000,2023,Questions!$C$2:$C$1000,"Oct/Nov",Questions!$D$2:$D$1000,"9708/21")</f>
        <v>0</v>
      </c>
      <c r="V33" s="9" t="n">
        <f aca="false">COUNTIFS(Questions!$R$2:$R$1000,"*;"&amp;$A33&amp;";*",Questions!$B$2:$B$1000,2023,Questions!$C$2:$C$1000,"Oct/Nov",Questions!$D$2:$D$1000,"9708/22")</f>
        <v>0</v>
      </c>
      <c r="W33" s="9" t="n">
        <f aca="false">COUNTIFS(Questions!$R$2:$R$1000,"*;"&amp;$A33&amp;";*",Questions!$B$2:$B$1000,2023,Questions!$C$2:$C$1000,"Oct/Nov",Questions!$D$2:$D$1000,"9708/23")</f>
        <v>1</v>
      </c>
      <c r="X33" s="9" t="n">
        <f aca="false">COUNTIFS(Questions!$R$2:$R$1000,"*;"&amp;$A33&amp;";*",Questions!$B$2:$B$1000,2024,Questions!$C$2:$C$1000,"Feb/March",Questions!$D$2:$D$1000,"9708/22")</f>
        <v>1</v>
      </c>
      <c r="Y33" s="9" t="n">
        <f aca="false">COUNTIFS(Questions!$R$2:$R$1000,"*;"&amp;$A33&amp;";*",Questions!$B$2:$B$1000,2024,Questions!$C$2:$C$1000,"May/June",Questions!$D$2:$D$1000,"9708/21")</f>
        <v>1</v>
      </c>
      <c r="Z33" s="9" t="n">
        <f aca="false">COUNTIFS(Questions!$R$2:$R$1000,"*;"&amp;$A33&amp;";*",Questions!$B$2:$B$1000,2024,Questions!$C$2:$C$1000,"May/June",Questions!$D$2:$D$1000,"9708/22")</f>
        <v>0</v>
      </c>
      <c r="AA33" s="9" t="n">
        <f aca="false">COUNTIFS(Questions!$R$2:$R$1000,"*;"&amp;$A33&amp;";*",Questions!$B$2:$B$1000,2024,Questions!$C$2:$C$1000,"May/June",Questions!$D$2:$D$1000,"9708/23")</f>
        <v>0</v>
      </c>
      <c r="AB33" s="9" t="n">
        <f aca="false">COUNTIFS(Questions!$R$2:$R$1000,"*;"&amp;$A33&amp;";*",Questions!$B$2:$B$1000,2024,Questions!$C$2:$C$1000,"Oct/Nov",Questions!$D$2:$D$1000,"9708/21")</f>
        <v>0</v>
      </c>
      <c r="AC33" s="9" t="n">
        <f aca="false">COUNTIFS(Questions!$R$2:$R$1000,"*;"&amp;$A33&amp;";*",Questions!$B$2:$B$1000,2024,Questions!$C$2:$C$1000,"Oct/Nov",Questions!$D$2:$D$1000,"9708/22")</f>
        <v>1</v>
      </c>
      <c r="AD33" s="9" t="n">
        <f aca="false">COUNTIFS(Questions!$R$2:$R$1000,"*;"&amp;$A33&amp;";*",Questions!$B$2:$B$1000,2024,Questions!$C$2:$C$1000,"Oct/Nov",Questions!$D$2:$D$1000,"9708/23")</f>
        <v>1</v>
      </c>
      <c r="AE33" s="9" t="n">
        <f aca="false">COUNTIFS(Questions!$R$2:$R$1000,"*;"&amp;$A33&amp;";*",Questions!$B$2:$B$1000,2025,Questions!$C$2:$C$1000,"May/June",Questions!$D$2:$D$1000,"9708/21")</f>
        <v>0</v>
      </c>
      <c r="AF33" s="9" t="n">
        <f aca="false">COUNTIFS(Questions!$R$2:$R$1000,"*;"&amp;$A33&amp;";*",Questions!$B$2:$B$1000,2025,Questions!$C$2:$C$1000,"May/June",Questions!$D$2:$D$1000,"9708/22")</f>
        <v>0</v>
      </c>
      <c r="AG33" s="9" t="n">
        <f aca="false">COUNTIFS(Questions!$R$2:$R$1000,"*;"&amp;$A33&amp;";*",Questions!$B$2:$B$1000,2025,Questions!$C$2:$C$1000,"May/June",Questions!$D$2:$D$1000,"9708/23")</f>
        <v>0</v>
      </c>
      <c r="AH33" s="9" t="n">
        <f aca="false">COUNTIFS(Questions!$R$2:$R$1000,"*;"&amp;$A33&amp;";*",Questions!$B$2:$B$1000,2025,Questions!$C$2:$C$1000,"May/June",Questions!$D$2:$D$1000,"9708/24")</f>
        <v>0</v>
      </c>
      <c r="AI33" s="9" t="n">
        <f aca="false">COUNTIFS(Questions!$R$2:$R$1000,"*;"&amp;$A33&amp;";*",Questions!$B$2:$B$1000,2025,Questions!$C$2:$C$1000,"Oct/Nov",Questions!$D$2:$D$1000,"9708/21")</f>
        <v>0</v>
      </c>
      <c r="AJ33" s="9" t="n">
        <f aca="false">COUNTIFS(Questions!$R$2:$R$1000,"*;"&amp;$A33&amp;";*",Questions!$B$2:$B$1000,2025,Questions!$C$2:$C$1000,"Oct/Nov",Questions!$D$2:$D$1000,"9708/22")</f>
        <v>1</v>
      </c>
      <c r="AK33" s="9" t="n">
        <f aca="false">COUNTIFS(Questions!$R$2:$R$1000,"*;"&amp;$A33&amp;";*",Questions!$B$2:$B$1000,2025,Questions!$C$2:$C$1000,"Oct/Nov",Questions!$D$2:$D$1000,"9708/23")</f>
        <v>1</v>
      </c>
      <c r="AL33" s="9" t="n">
        <f aca="false">COUNTIFS(Questions!$R$2:$R$1000,"*;"&amp;$A33&amp;";*",Questions!$B$2:$B$1000,2025,Questions!$C$2:$C$1000,"Oct/Nov",Questions!$D$2:$D$1000,"9708/24")</f>
        <v>0</v>
      </c>
      <c r="AM33" s="9" t="n">
        <f aca="false">COUNTIFS(Questions!$R$2:$R$1000,"*;"&amp;$A33&amp;";*",Questions!$B$2:$B$1000,2026,Questions!$C$2:$C$1000,"May/June",Questions!$D$2:$D$1000,"9708/21")</f>
        <v>0</v>
      </c>
      <c r="AN33" s="9" t="n">
        <f aca="false">COUNTIFS(Questions!$R$2:$R$1000,"*;"&amp;$A33&amp;";*",Questions!$B$2:$B$1000,2026,Questions!$C$2:$C$1000,"May/June",Questions!$D$2:$D$1000,"9708/22")</f>
        <v>0</v>
      </c>
      <c r="AO33" s="9" t="n">
        <f aca="false">COUNTIFS(Questions!$R$2:$R$1000,"*;"&amp;$A33&amp;";*",Questions!$B$2:$B$1000,2026,Questions!$C$2:$C$1000,"May/June",Questions!$D$2:$D$1000,"9708/23")</f>
        <v>0</v>
      </c>
      <c r="AP33" s="9" t="n">
        <f aca="false">COUNTIFS(Questions!$R$2:$R$1000,"*;"&amp;$A33&amp;";*",Questions!$B$2:$B$1000,2026,Questions!$C$2:$C$1000,"May/June",Questions!$D$2:$D$1000,"9708/24")</f>
        <v>0</v>
      </c>
      <c r="AQ33" s="9" t="n">
        <f aca="false">SUM(C33:AP33)</f>
        <v>13</v>
      </c>
      <c r="AR33" s="9" t="n">
        <f aca="false">COUNTIF(Questions!$P$2:$P$1000,$A33)</f>
        <v>12</v>
      </c>
      <c r="AS33" s="9" t="n">
        <f aca="false">SUMIF(Questions!$P$2:$P$1000,$A33,Questions!$I$2:$I$1000)</f>
        <v>132</v>
      </c>
    </row>
    <row r="34" customFormat="false" ht="15" hidden="false" customHeight="false" outlineLevel="0" collapsed="false">
      <c r="B34" s="10" t="s">
        <v>3408</v>
      </c>
      <c r="C34" s="11" t="n">
        <f aca="false">SUM(C5:C33)</f>
        <v>21</v>
      </c>
      <c r="D34" s="11" t="n">
        <f aca="false">SUM(D5:D33)</f>
        <v>22</v>
      </c>
      <c r="E34" s="11" t="n">
        <f aca="false">SUM(E5:E33)</f>
        <v>20</v>
      </c>
      <c r="F34" s="11" t="n">
        <f aca="false">SUM(F5:F33)</f>
        <v>22</v>
      </c>
      <c r="G34" s="11" t="n">
        <f aca="false">SUM(G5:G33)</f>
        <v>19</v>
      </c>
      <c r="H34" s="11" t="n">
        <f aca="false">SUM(H5:H33)</f>
        <v>21</v>
      </c>
      <c r="I34" s="11" t="n">
        <f aca="false">SUM(I5:I33)</f>
        <v>22</v>
      </c>
      <c r="J34" s="11" t="n">
        <f aca="false">SUM(J5:J33)</f>
        <v>20</v>
      </c>
      <c r="K34" s="11" t="n">
        <f aca="false">SUM(K5:K33)</f>
        <v>16</v>
      </c>
      <c r="L34" s="11" t="n">
        <f aca="false">SUM(L5:L33)</f>
        <v>19</v>
      </c>
      <c r="M34" s="11" t="n">
        <f aca="false">SUM(M5:M33)</f>
        <v>21</v>
      </c>
      <c r="N34" s="11" t="n">
        <f aca="false">SUM(N5:N33)</f>
        <v>16</v>
      </c>
      <c r="O34" s="11" t="n">
        <f aca="false">SUM(O5:O33)</f>
        <v>21</v>
      </c>
      <c r="P34" s="11" t="n">
        <f aca="false">SUM(P5:P33)</f>
        <v>23</v>
      </c>
      <c r="Q34" s="11" t="n">
        <f aca="false">SUM(Q5:Q33)</f>
        <v>18</v>
      </c>
      <c r="R34" s="11" t="n">
        <f aca="false">SUM(R5:R33)</f>
        <v>19</v>
      </c>
      <c r="S34" s="11" t="n">
        <f aca="false">SUM(S5:S33)</f>
        <v>25</v>
      </c>
      <c r="T34" s="11" t="n">
        <f aca="false">SUM(T5:T33)</f>
        <v>25</v>
      </c>
      <c r="U34" s="11" t="n">
        <f aca="false">SUM(U5:U33)</f>
        <v>20</v>
      </c>
      <c r="V34" s="11" t="n">
        <f aca="false">SUM(V5:V33)</f>
        <v>25</v>
      </c>
      <c r="W34" s="11" t="n">
        <f aca="false">SUM(W5:W33)</f>
        <v>23</v>
      </c>
      <c r="X34" s="11" t="n">
        <f aca="false">SUM(X5:X33)</f>
        <v>22</v>
      </c>
      <c r="Y34" s="11" t="n">
        <f aca="false">SUM(Y5:Y33)</f>
        <v>24</v>
      </c>
      <c r="Z34" s="11" t="n">
        <f aca="false">SUM(Z5:Z33)</f>
        <v>23</v>
      </c>
      <c r="AA34" s="11" t="n">
        <f aca="false">SUM(AA5:AA33)</f>
        <v>24</v>
      </c>
      <c r="AB34" s="11" t="n">
        <f aca="false">SUM(AB5:AB33)</f>
        <v>18</v>
      </c>
      <c r="AC34" s="11" t="n">
        <f aca="false">SUM(AC5:AC33)</f>
        <v>23</v>
      </c>
      <c r="AD34" s="11" t="n">
        <f aca="false">SUM(AD5:AD33)</f>
        <v>22</v>
      </c>
      <c r="AE34" s="11" t="n">
        <f aca="false">SUM(AE5:AE33)</f>
        <v>29</v>
      </c>
      <c r="AF34" s="11" t="n">
        <f aca="false">SUM(AF5:AF33)</f>
        <v>28</v>
      </c>
      <c r="AG34" s="11" t="n">
        <f aca="false">SUM(AG5:AG33)</f>
        <v>28</v>
      </c>
      <c r="AH34" s="11" t="n">
        <f aca="false">SUM(AH5:AH33)</f>
        <v>22</v>
      </c>
      <c r="AI34" s="11" t="n">
        <f aca="false">SUM(AI5:AI33)</f>
        <v>16</v>
      </c>
      <c r="AJ34" s="11" t="n">
        <f aca="false">SUM(AJ5:AJ33)</f>
        <v>23</v>
      </c>
      <c r="AK34" s="11" t="n">
        <f aca="false">SUM(AK5:AK33)</f>
        <v>23</v>
      </c>
      <c r="AL34" s="11" t="n">
        <f aca="false">SUM(AL5:AL33)</f>
        <v>23</v>
      </c>
      <c r="AM34" s="11" t="n">
        <f aca="false">SUM(AM5:AM33)</f>
        <v>22</v>
      </c>
      <c r="AN34" s="11" t="n">
        <f aca="false">SUM(AN5:AN33)</f>
        <v>30</v>
      </c>
      <c r="AO34" s="11" t="n">
        <f aca="false">SUM(AO5:AO33)</f>
        <v>27</v>
      </c>
      <c r="AP34" s="11" t="n">
        <f aca="false">SUM(AP5:AP33)</f>
        <v>23</v>
      </c>
      <c r="AQ34" s="11" t="n">
        <f aca="false">SUM(AQ5:AQ33)</f>
        <v>888</v>
      </c>
      <c r="AR34" s="11" t="n">
        <f aca="false">SUM(AR5:AR33)</f>
        <v>506</v>
      </c>
      <c r="AS34" s="11" t="n">
        <f aca="false">SUM(AS5:AS33)</f>
        <v>3720</v>
      </c>
    </row>
    <row r="36" customFormat="false" ht="15" hidden="false" customHeight="false" outlineLevel="0" collapsed="false">
      <c r="A36" s="7" t="s">
        <v>3409</v>
      </c>
    </row>
    <row r="37" customFormat="false" ht="15" hidden="false" customHeight="false" outlineLevel="0" collapsed="false">
      <c r="B37" s="12" t="s">
        <v>3410</v>
      </c>
      <c r="AS37" s="12" t="n">
        <v>3720</v>
      </c>
    </row>
    <row r="38" customFormat="false" ht="15" hidden="false" customHeight="false" outlineLevel="0" collapsed="false">
      <c r="B38" s="10" t="s">
        <v>3411</v>
      </c>
      <c r="AS38" s="10" t="str">
        <f aca="false">IF(AS34=AS37,"OK","CHECK")</f>
        <v>OK</v>
      </c>
    </row>
  </sheetData>
  <conditionalFormatting sqref="C5:AP33">
    <cfRule type="colorScale" priority="2">
      <colorScale>
        <cfvo type="num" val="0"/>
        <cfvo type="num" val="3"/>
        <color rgb="FFFFFFFF"/>
        <color rgb="FF8EA9DB"/>
      </colorScale>
    </cfRule>
  </conditionalFormatting>
  <conditionalFormatting sqref="AQ5:AQ33">
    <cfRule type="colorScale" priority="3">
      <colorScale>
        <cfvo type="num" val="0"/>
        <cfvo type="num" val="4"/>
        <color rgb="FFF8CBAD"/>
        <color rgb="FFA9D08E"/>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18"/>
    <col collapsed="false" customWidth="true" hidden="false" outlineLevel="0" max="4" min="4" style="0" width="60"/>
    <col collapsed="false" customWidth="true" hidden="false" outlineLevel="0" max="5" min="5" style="0" width="18"/>
    <col collapsed="false" customWidth="true" hidden="false" outlineLevel="0" max="6" min="6" style="0" width="60"/>
  </cols>
  <sheetData>
    <row r="1" customFormat="false" ht="17.35" hidden="false" customHeight="false" outlineLevel="0" collapsed="false">
      <c r="A1" s="6" t="s">
        <v>3412</v>
      </c>
    </row>
    <row r="2" customFormat="false" ht="15" hidden="false" customHeight="false" outlineLevel="0" collapsed="false">
      <c r="A2" s="7" t="s">
        <v>3413</v>
      </c>
    </row>
    <row r="4" customFormat="false" ht="30" hidden="false" customHeight="true" outlineLevel="0" collapsed="false">
      <c r="A4" s="1" t="s">
        <v>3414</v>
      </c>
      <c r="B4" s="1" t="s">
        <v>3415</v>
      </c>
      <c r="C4" s="1" t="s">
        <v>3416</v>
      </c>
      <c r="D4" s="1" t="s">
        <v>3417</v>
      </c>
      <c r="E4" s="1" t="s">
        <v>3418</v>
      </c>
      <c r="F4" s="1" t="s">
        <v>3419</v>
      </c>
    </row>
    <row r="5" customFormat="false" ht="48" hidden="false" customHeight="true" outlineLevel="0" collapsed="false">
      <c r="A5" s="13" t="n">
        <v>0.99</v>
      </c>
      <c r="B5" s="3" t="s">
        <v>3420</v>
      </c>
      <c r="C5" s="3" t="s">
        <v>2092</v>
      </c>
      <c r="D5" s="3" t="s">
        <v>2095</v>
      </c>
      <c r="E5" s="3" t="s">
        <v>3248</v>
      </c>
      <c r="F5" s="3" t="s">
        <v>3249</v>
      </c>
    </row>
    <row r="6" customFormat="false" ht="48" hidden="false" customHeight="true" outlineLevel="0" collapsed="false">
      <c r="A6" s="13" t="n">
        <v>0.92</v>
      </c>
      <c r="B6" s="3" t="s">
        <v>3421</v>
      </c>
      <c r="C6" s="3" t="s">
        <v>1422</v>
      </c>
      <c r="D6" s="3" t="s">
        <v>1424</v>
      </c>
      <c r="E6" s="3" t="s">
        <v>2356</v>
      </c>
      <c r="F6" s="3" t="s">
        <v>2359</v>
      </c>
    </row>
    <row r="7" customFormat="false" ht="48" hidden="false" customHeight="true" outlineLevel="0" collapsed="false">
      <c r="A7" s="13" t="n">
        <v>0.87</v>
      </c>
      <c r="B7" s="3" t="s">
        <v>3421</v>
      </c>
      <c r="C7" s="3" t="s">
        <v>3312</v>
      </c>
      <c r="D7" s="3" t="s">
        <v>3315</v>
      </c>
      <c r="E7" s="3" t="s">
        <v>1571</v>
      </c>
      <c r="F7" s="3" t="s">
        <v>1572</v>
      </c>
    </row>
    <row r="8" customFormat="false" ht="48" hidden="false" customHeight="true" outlineLevel="0" collapsed="false">
      <c r="A8" s="13" t="n">
        <v>0.86</v>
      </c>
      <c r="B8" s="3" t="s">
        <v>3421</v>
      </c>
      <c r="C8" s="3" t="s">
        <v>1308</v>
      </c>
      <c r="D8" s="3" t="s">
        <v>1310</v>
      </c>
      <c r="E8" s="3" t="s">
        <v>2756</v>
      </c>
      <c r="F8" s="3" t="s">
        <v>2757</v>
      </c>
    </row>
    <row r="9" customFormat="false" ht="48" hidden="false" customHeight="true" outlineLevel="0" collapsed="false">
      <c r="A9" s="13" t="n">
        <v>0.85</v>
      </c>
      <c r="B9" s="3" t="s">
        <v>3421</v>
      </c>
      <c r="C9" s="3" t="s">
        <v>554</v>
      </c>
      <c r="D9" s="3" t="s">
        <v>556</v>
      </c>
      <c r="E9" s="3" t="s">
        <v>1688</v>
      </c>
      <c r="F9" s="3" t="s">
        <v>1691</v>
      </c>
    </row>
    <row r="10" customFormat="false" ht="48" hidden="false" customHeight="true" outlineLevel="0" collapsed="false">
      <c r="A10" s="13" t="n">
        <v>0.81</v>
      </c>
      <c r="B10" s="3" t="s">
        <v>3420</v>
      </c>
      <c r="C10" s="3" t="s">
        <v>1898</v>
      </c>
      <c r="D10" s="3" t="s">
        <v>1901</v>
      </c>
      <c r="E10" s="3" t="s">
        <v>2489</v>
      </c>
      <c r="F10" s="3" t="s">
        <v>2491</v>
      </c>
    </row>
    <row r="11" customFormat="false" ht="48" hidden="false" customHeight="true" outlineLevel="0" collapsed="false">
      <c r="A11" s="13" t="n">
        <v>0.78</v>
      </c>
      <c r="B11" s="3" t="s">
        <v>3421</v>
      </c>
      <c r="C11" s="3" t="s">
        <v>1257</v>
      </c>
      <c r="D11" s="3" t="s">
        <v>1261</v>
      </c>
      <c r="E11" s="3" t="s">
        <v>1005</v>
      </c>
      <c r="F11" s="3" t="s">
        <v>1009</v>
      </c>
    </row>
    <row r="12" customFormat="false" ht="48" hidden="false" customHeight="true" outlineLevel="0" collapsed="false">
      <c r="A12" s="13" t="n">
        <v>0.76</v>
      </c>
      <c r="B12" s="3" t="s">
        <v>3421</v>
      </c>
      <c r="C12" s="3" t="s">
        <v>1814</v>
      </c>
      <c r="D12" s="3" t="s">
        <v>1817</v>
      </c>
      <c r="E12" s="3" t="s">
        <v>2002</v>
      </c>
      <c r="F12" s="3" t="s">
        <v>2004</v>
      </c>
    </row>
    <row r="13" customFormat="false" ht="48" hidden="false" customHeight="true" outlineLevel="0" collapsed="false">
      <c r="A13" s="13" t="n">
        <v>0.76</v>
      </c>
      <c r="B13" s="3" t="s">
        <v>3421</v>
      </c>
      <c r="C13" s="3" t="s">
        <v>1257</v>
      </c>
      <c r="D13" s="3" t="s">
        <v>1261</v>
      </c>
      <c r="E13" s="3" t="s">
        <v>1422</v>
      </c>
      <c r="F13" s="3" t="s">
        <v>1424</v>
      </c>
    </row>
    <row r="14" customFormat="false" ht="48" hidden="false" customHeight="true" outlineLevel="0" collapsed="false">
      <c r="A14" s="13" t="n">
        <v>0.75</v>
      </c>
      <c r="B14" s="3" t="s">
        <v>3421</v>
      </c>
      <c r="C14" s="3" t="s">
        <v>1422</v>
      </c>
      <c r="D14" s="3" t="s">
        <v>1424</v>
      </c>
      <c r="E14" s="3" t="s">
        <v>2941</v>
      </c>
      <c r="F14" s="3" t="s">
        <v>2943</v>
      </c>
    </row>
    <row r="15" customFormat="false" ht="48" hidden="false" customHeight="true" outlineLevel="0" collapsed="false">
      <c r="A15" s="13" t="n">
        <v>0.75</v>
      </c>
      <c r="B15" s="3" t="s">
        <v>3421</v>
      </c>
      <c r="C15" s="3" t="s">
        <v>687</v>
      </c>
      <c r="D15" s="3" t="s">
        <v>689</v>
      </c>
      <c r="E15" s="3" t="s">
        <v>431</v>
      </c>
      <c r="F15" s="3" t="s">
        <v>438</v>
      </c>
    </row>
    <row r="16" customFormat="false" ht="48" hidden="false" customHeight="true" outlineLevel="0" collapsed="false">
      <c r="A16" s="13" t="n">
        <v>0.74</v>
      </c>
      <c r="B16" s="3" t="s">
        <v>3421</v>
      </c>
      <c r="C16" s="3" t="s">
        <v>2356</v>
      </c>
      <c r="D16" s="3" t="s">
        <v>2359</v>
      </c>
      <c r="E16" s="3" t="s">
        <v>2941</v>
      </c>
      <c r="F16" s="3" t="s">
        <v>2943</v>
      </c>
    </row>
    <row r="17" customFormat="false" ht="48" hidden="false" customHeight="true" outlineLevel="0" collapsed="false">
      <c r="A17" s="13" t="n">
        <v>0.74</v>
      </c>
      <c r="B17" s="3" t="s">
        <v>3421</v>
      </c>
      <c r="C17" s="3" t="s">
        <v>983</v>
      </c>
      <c r="D17" s="3" t="s">
        <v>985</v>
      </c>
      <c r="E17" s="3" t="s">
        <v>1571</v>
      </c>
      <c r="F17" s="3" t="s">
        <v>1572</v>
      </c>
    </row>
    <row r="18" customFormat="false" ht="48" hidden="false" customHeight="true" outlineLevel="0" collapsed="false">
      <c r="A18" s="13" t="n">
        <v>0.74</v>
      </c>
      <c r="B18" s="3" t="s">
        <v>3421</v>
      </c>
      <c r="C18" s="3" t="s">
        <v>1840</v>
      </c>
      <c r="D18" s="3" t="s">
        <v>1844</v>
      </c>
      <c r="E18" s="3" t="s">
        <v>2356</v>
      </c>
      <c r="F18" s="3" t="s">
        <v>2359</v>
      </c>
    </row>
    <row r="19" customFormat="false" ht="48" hidden="false" customHeight="true" outlineLevel="0" collapsed="false">
      <c r="A19" s="13" t="n">
        <v>0.73</v>
      </c>
      <c r="B19" s="3" t="s">
        <v>3421</v>
      </c>
      <c r="C19" s="3" t="s">
        <v>622</v>
      </c>
      <c r="D19" s="3" t="s">
        <v>624</v>
      </c>
      <c r="E19" s="3" t="s">
        <v>1571</v>
      </c>
      <c r="F19" s="3" t="s">
        <v>1572</v>
      </c>
    </row>
    <row r="20" customFormat="false" ht="48" hidden="false" customHeight="true" outlineLevel="0" collapsed="false">
      <c r="A20" s="13" t="n">
        <v>0.73</v>
      </c>
      <c r="B20" s="3" t="s">
        <v>3421</v>
      </c>
      <c r="C20" s="3" t="s">
        <v>1840</v>
      </c>
      <c r="D20" s="3" t="s">
        <v>1844</v>
      </c>
      <c r="E20" s="3" t="s">
        <v>1005</v>
      </c>
      <c r="F20" s="3" t="s">
        <v>1009</v>
      </c>
    </row>
    <row r="21" customFormat="false" ht="48" hidden="false" customHeight="true" outlineLevel="0" collapsed="false">
      <c r="A21" s="13" t="n">
        <v>0.73</v>
      </c>
      <c r="B21" s="3" t="s">
        <v>3421</v>
      </c>
      <c r="C21" s="3" t="s">
        <v>1257</v>
      </c>
      <c r="D21" s="3" t="s">
        <v>1261</v>
      </c>
      <c r="E21" s="3" t="s">
        <v>2849</v>
      </c>
      <c r="F21" s="3" t="s">
        <v>2850</v>
      </c>
    </row>
    <row r="22" customFormat="false" ht="48" hidden="false" customHeight="true" outlineLevel="0" collapsed="false">
      <c r="A22" s="13" t="n">
        <v>0.73</v>
      </c>
      <c r="B22" s="3" t="s">
        <v>3421</v>
      </c>
      <c r="C22" s="3" t="s">
        <v>1257</v>
      </c>
      <c r="D22" s="3" t="s">
        <v>1261</v>
      </c>
      <c r="E22" s="3" t="s">
        <v>2356</v>
      </c>
      <c r="F22" s="3" t="s">
        <v>2359</v>
      </c>
    </row>
    <row r="23" customFormat="false" ht="48" hidden="false" customHeight="true" outlineLevel="0" collapsed="false">
      <c r="A23" s="13" t="n">
        <v>0.72</v>
      </c>
      <c r="B23" s="3" t="s">
        <v>3421</v>
      </c>
      <c r="C23" s="3" t="s">
        <v>1571</v>
      </c>
      <c r="D23" s="3" t="s">
        <v>1572</v>
      </c>
      <c r="E23" s="3" t="s">
        <v>1733</v>
      </c>
      <c r="F23" s="3" t="s">
        <v>1735</v>
      </c>
    </row>
    <row r="24" customFormat="false" ht="48" hidden="false" customHeight="true" outlineLevel="0" collapsed="false">
      <c r="A24" s="13" t="n">
        <v>0.72</v>
      </c>
      <c r="B24" s="3" t="s">
        <v>3421</v>
      </c>
      <c r="C24" s="3" t="s">
        <v>922</v>
      </c>
      <c r="D24" s="3" t="s">
        <v>925</v>
      </c>
      <c r="E24" s="3" t="s">
        <v>1435</v>
      </c>
      <c r="F24" s="3" t="s">
        <v>1439</v>
      </c>
    </row>
    <row r="25" customFormat="false" ht="48" hidden="false" customHeight="true" outlineLevel="0" collapsed="false">
      <c r="A25" s="13" t="n">
        <v>0.72</v>
      </c>
      <c r="B25" s="3" t="s">
        <v>3421</v>
      </c>
      <c r="C25" s="3" t="s">
        <v>1840</v>
      </c>
      <c r="D25" s="3" t="s">
        <v>1844</v>
      </c>
      <c r="E25" s="3" t="s">
        <v>1422</v>
      </c>
      <c r="F25" s="3" t="s">
        <v>1424</v>
      </c>
    </row>
    <row r="26" customFormat="false" ht="48" hidden="false" customHeight="true" outlineLevel="0" collapsed="false">
      <c r="A26" s="13" t="n">
        <v>0.72</v>
      </c>
      <c r="B26" s="3" t="s">
        <v>3422</v>
      </c>
      <c r="C26" s="3" t="s">
        <v>1241</v>
      </c>
      <c r="D26" s="3" t="s">
        <v>1245</v>
      </c>
      <c r="E26" s="3" t="s">
        <v>2167</v>
      </c>
      <c r="F26" s="3" t="s">
        <v>2170</v>
      </c>
    </row>
    <row r="27" customFormat="false" ht="48" hidden="false" customHeight="true" outlineLevel="0" collapsed="false">
      <c r="A27" s="13" t="n">
        <v>0.71</v>
      </c>
      <c r="B27" s="3" t="s">
        <v>3423</v>
      </c>
      <c r="C27" s="3" t="s">
        <v>3126</v>
      </c>
      <c r="D27" s="3" t="s">
        <v>3128</v>
      </c>
      <c r="E27" s="3" t="s">
        <v>3002</v>
      </c>
      <c r="F27" s="3" t="s">
        <v>3005</v>
      </c>
    </row>
    <row r="28" customFormat="false" ht="48" hidden="false" customHeight="true" outlineLevel="0" collapsed="false">
      <c r="A28" s="13" t="n">
        <v>0.71</v>
      </c>
      <c r="B28" s="3" t="s">
        <v>3421</v>
      </c>
      <c r="C28" s="3" t="s">
        <v>1422</v>
      </c>
      <c r="D28" s="3" t="s">
        <v>1424</v>
      </c>
      <c r="E28" s="3" t="s">
        <v>2849</v>
      </c>
      <c r="F28" s="3" t="s">
        <v>2850</v>
      </c>
    </row>
    <row r="29" customFormat="false" ht="48" hidden="false" customHeight="true" outlineLevel="0" collapsed="false">
      <c r="A29" s="13" t="n">
        <v>0.71</v>
      </c>
      <c r="B29" s="3" t="s">
        <v>3421</v>
      </c>
      <c r="C29" s="3" t="s">
        <v>1422</v>
      </c>
      <c r="D29" s="3" t="s">
        <v>1424</v>
      </c>
      <c r="E29" s="3" t="s">
        <v>1005</v>
      </c>
      <c r="F29" s="3" t="s">
        <v>1009</v>
      </c>
    </row>
    <row r="30" customFormat="false" ht="48" hidden="false" customHeight="true" outlineLevel="0" collapsed="false">
      <c r="A30" s="13" t="n">
        <v>0.7</v>
      </c>
      <c r="B30" s="3" t="s">
        <v>3421</v>
      </c>
      <c r="C30" s="3" t="s">
        <v>2849</v>
      </c>
      <c r="D30" s="3" t="s">
        <v>2850</v>
      </c>
      <c r="E30" s="3" t="s">
        <v>2941</v>
      </c>
      <c r="F30" s="3" t="s">
        <v>2943</v>
      </c>
    </row>
    <row r="31" customFormat="false" ht="48" hidden="false" customHeight="true" outlineLevel="0" collapsed="false">
      <c r="A31" s="13" t="n">
        <v>0.7</v>
      </c>
      <c r="B31" s="3" t="s">
        <v>3421</v>
      </c>
      <c r="C31" s="3" t="s">
        <v>2356</v>
      </c>
      <c r="D31" s="3" t="s">
        <v>2359</v>
      </c>
      <c r="E31" s="3" t="s">
        <v>2849</v>
      </c>
      <c r="F31" s="3" t="s">
        <v>2850</v>
      </c>
    </row>
    <row r="32" customFormat="false" ht="48" hidden="false" customHeight="true" outlineLevel="0" collapsed="false">
      <c r="A32" s="13" t="n">
        <v>0.7</v>
      </c>
      <c r="B32" s="3" t="s">
        <v>3424</v>
      </c>
      <c r="C32" s="3" t="s">
        <v>1688</v>
      </c>
      <c r="D32" s="3" t="s">
        <v>1691</v>
      </c>
      <c r="E32" s="3" t="s">
        <v>2963</v>
      </c>
      <c r="F32" s="3" t="s">
        <v>2965</v>
      </c>
    </row>
    <row r="33" customFormat="false" ht="48" hidden="false" customHeight="true" outlineLevel="0" collapsed="false">
      <c r="A33" s="13" t="n">
        <v>0.7</v>
      </c>
      <c r="B33" s="3" t="s">
        <v>3421</v>
      </c>
      <c r="C33" s="3" t="s">
        <v>983</v>
      </c>
      <c r="D33" s="3" t="s">
        <v>985</v>
      </c>
      <c r="E33" s="3" t="s">
        <v>1733</v>
      </c>
      <c r="F33" s="3" t="s">
        <v>1735</v>
      </c>
    </row>
    <row r="34" customFormat="false" ht="48" hidden="false" customHeight="true" outlineLevel="0" collapsed="false">
      <c r="A34" s="13" t="n">
        <v>0.7</v>
      </c>
      <c r="B34" s="3" t="s">
        <v>3424</v>
      </c>
      <c r="C34" s="3" t="s">
        <v>1241</v>
      </c>
      <c r="D34" s="3" t="s">
        <v>1245</v>
      </c>
      <c r="E34" s="3" t="s">
        <v>1558</v>
      </c>
      <c r="F34" s="3" t="s">
        <v>1560</v>
      </c>
    </row>
    <row r="35" customFormat="false" ht="48" hidden="false" customHeight="true" outlineLevel="0" collapsed="false">
      <c r="A35" s="13" t="n">
        <v>0.7</v>
      </c>
      <c r="B35" s="3" t="s">
        <v>3421</v>
      </c>
      <c r="C35" s="3" t="s">
        <v>1205</v>
      </c>
      <c r="D35" s="3" t="s">
        <v>1209</v>
      </c>
      <c r="E35" s="3" t="s">
        <v>1905</v>
      </c>
      <c r="F35" s="3" t="s">
        <v>1907</v>
      </c>
    </row>
    <row r="36" customFormat="false" ht="48" hidden="false" customHeight="true" outlineLevel="0" collapsed="false">
      <c r="A36" s="13" t="n">
        <v>0.69</v>
      </c>
      <c r="B36" s="3" t="s">
        <v>3421</v>
      </c>
      <c r="C36" s="3" t="s">
        <v>3269</v>
      </c>
      <c r="D36" s="3" t="s">
        <v>3271</v>
      </c>
      <c r="E36" s="3" t="s">
        <v>3351</v>
      </c>
      <c r="F36" s="3" t="s">
        <v>3353</v>
      </c>
    </row>
    <row r="37" customFormat="false" ht="48" hidden="false" customHeight="true" outlineLevel="0" collapsed="false">
      <c r="A37" s="13" t="n">
        <v>0.69</v>
      </c>
      <c r="B37" s="3" t="s">
        <v>3420</v>
      </c>
      <c r="C37" s="3" t="s">
        <v>2489</v>
      </c>
      <c r="D37" s="3" t="s">
        <v>2491</v>
      </c>
      <c r="E37" s="3" t="s">
        <v>1655</v>
      </c>
      <c r="F37" s="3" t="s">
        <v>1657</v>
      </c>
    </row>
    <row r="38" customFormat="false" ht="48" hidden="false" customHeight="true" outlineLevel="0" collapsed="false">
      <c r="A38" s="13" t="n">
        <v>0.69</v>
      </c>
      <c r="B38" s="3" t="s">
        <v>3420</v>
      </c>
      <c r="C38" s="3" t="s">
        <v>1937</v>
      </c>
      <c r="D38" s="3" t="s">
        <v>1939</v>
      </c>
      <c r="E38" s="3" t="s">
        <v>3074</v>
      </c>
      <c r="F38" s="3" t="s">
        <v>3076</v>
      </c>
    </row>
    <row r="39" customFormat="false" ht="48" hidden="false" customHeight="true" outlineLevel="0" collapsed="false">
      <c r="A39" s="13" t="n">
        <v>0.69</v>
      </c>
      <c r="B39" s="3" t="s">
        <v>3421</v>
      </c>
      <c r="C39" s="3" t="s">
        <v>1917</v>
      </c>
      <c r="D39" s="3" t="s">
        <v>1919</v>
      </c>
      <c r="E39" s="3" t="s">
        <v>1647</v>
      </c>
      <c r="F39" s="3" t="s">
        <v>1651</v>
      </c>
    </row>
    <row r="40" customFormat="false" ht="48" hidden="false" customHeight="true" outlineLevel="0" collapsed="false">
      <c r="A40" s="13" t="n">
        <v>0.69</v>
      </c>
      <c r="B40" s="3" t="s">
        <v>3423</v>
      </c>
      <c r="C40" s="3" t="s">
        <v>1288</v>
      </c>
      <c r="D40" s="3" t="s">
        <v>1291</v>
      </c>
      <c r="E40" s="3" t="s">
        <v>2767</v>
      </c>
      <c r="F40" s="3" t="s">
        <v>2769</v>
      </c>
    </row>
    <row r="41" customFormat="false" ht="48" hidden="false" customHeight="true" outlineLevel="0" collapsed="false">
      <c r="A41" s="13" t="n">
        <v>0.69</v>
      </c>
      <c r="B41" s="3" t="s">
        <v>3421</v>
      </c>
      <c r="C41" s="3" t="s">
        <v>1840</v>
      </c>
      <c r="D41" s="3" t="s">
        <v>1844</v>
      </c>
      <c r="E41" s="3" t="s">
        <v>2849</v>
      </c>
      <c r="F41" s="3" t="s">
        <v>2850</v>
      </c>
    </row>
    <row r="42" customFormat="false" ht="48" hidden="false" customHeight="true" outlineLevel="0" collapsed="false">
      <c r="A42" s="13" t="n">
        <v>0.69</v>
      </c>
      <c r="B42" s="3" t="s">
        <v>3421</v>
      </c>
      <c r="C42" s="3" t="s">
        <v>1828</v>
      </c>
      <c r="D42" s="3" t="s">
        <v>1829</v>
      </c>
      <c r="E42" s="3" t="s">
        <v>231</v>
      </c>
      <c r="F42" s="3" t="s">
        <v>235</v>
      </c>
    </row>
    <row r="43" customFormat="false" ht="48" hidden="false" customHeight="true" outlineLevel="0" collapsed="false">
      <c r="A43" s="13" t="n">
        <v>0.69</v>
      </c>
      <c r="B43" s="3" t="s">
        <v>3420</v>
      </c>
      <c r="C43" s="3" t="s">
        <v>1249</v>
      </c>
      <c r="D43" s="3" t="s">
        <v>1253</v>
      </c>
      <c r="E43" s="3" t="s">
        <v>1342</v>
      </c>
      <c r="F43" s="3" t="s">
        <v>1344</v>
      </c>
    </row>
    <row r="44" customFormat="false" ht="48" hidden="false" customHeight="true" outlineLevel="0" collapsed="false">
      <c r="A44" s="13" t="n">
        <v>0.68</v>
      </c>
      <c r="B44" s="3" t="s">
        <v>3421</v>
      </c>
      <c r="C44" s="3" t="s">
        <v>465</v>
      </c>
      <c r="D44" s="3" t="s">
        <v>471</v>
      </c>
      <c r="E44" s="3" t="s">
        <v>1005</v>
      </c>
      <c r="F44" s="3" t="s">
        <v>1009</v>
      </c>
    </row>
    <row r="45" customFormat="false" ht="48" hidden="false" customHeight="true" outlineLevel="0" collapsed="false">
      <c r="A45" s="13" t="n">
        <v>0.68</v>
      </c>
      <c r="B45" s="3" t="s">
        <v>3421</v>
      </c>
      <c r="C45" s="3" t="s">
        <v>2016</v>
      </c>
      <c r="D45" s="3" t="s">
        <v>2019</v>
      </c>
      <c r="E45" s="3" t="s">
        <v>1756</v>
      </c>
      <c r="F45" s="3" t="s">
        <v>1760</v>
      </c>
    </row>
    <row r="46" customFormat="false" ht="48" hidden="false" customHeight="true" outlineLevel="0" collapsed="false">
      <c r="A46" s="13" t="n">
        <v>0.68</v>
      </c>
      <c r="B46" s="3" t="s">
        <v>3420</v>
      </c>
      <c r="C46" s="3" t="s">
        <v>1302</v>
      </c>
      <c r="D46" s="3" t="s">
        <v>1304</v>
      </c>
      <c r="E46" s="3" t="s">
        <v>2155</v>
      </c>
      <c r="F46" s="3" t="s">
        <v>2157</v>
      </c>
    </row>
    <row r="47" customFormat="false" ht="48" hidden="false" customHeight="true" outlineLevel="0" collapsed="false">
      <c r="A47" s="13" t="n">
        <v>0.68</v>
      </c>
      <c r="B47" s="3" t="s">
        <v>3420</v>
      </c>
      <c r="C47" s="3" t="s">
        <v>1821</v>
      </c>
      <c r="D47" s="3" t="s">
        <v>1824</v>
      </c>
      <c r="E47" s="3" t="s">
        <v>2652</v>
      </c>
      <c r="F47" s="3" t="s">
        <v>2655</v>
      </c>
    </row>
    <row r="48" customFormat="false" ht="48" hidden="false" customHeight="true" outlineLevel="0" collapsed="false">
      <c r="A48" s="13" t="n">
        <v>0.67</v>
      </c>
      <c r="B48" s="3" t="s">
        <v>3421</v>
      </c>
      <c r="C48" s="3" t="s">
        <v>3312</v>
      </c>
      <c r="D48" s="3" t="s">
        <v>3315</v>
      </c>
      <c r="E48" s="3" t="s">
        <v>1733</v>
      </c>
      <c r="F48" s="3" t="s">
        <v>1735</v>
      </c>
    </row>
    <row r="49" customFormat="false" ht="48" hidden="false" customHeight="true" outlineLevel="0" collapsed="false">
      <c r="A49" s="13" t="n">
        <v>0.67</v>
      </c>
      <c r="B49" s="3" t="s">
        <v>3421</v>
      </c>
      <c r="C49" s="3" t="s">
        <v>3312</v>
      </c>
      <c r="D49" s="3" t="s">
        <v>3315</v>
      </c>
      <c r="E49" s="3" t="s">
        <v>622</v>
      </c>
      <c r="F49" s="3" t="s">
        <v>624</v>
      </c>
    </row>
    <row r="50" customFormat="false" ht="48" hidden="false" customHeight="true" outlineLevel="0" collapsed="false">
      <c r="A50" s="13" t="n">
        <v>0.67</v>
      </c>
      <c r="B50" s="3" t="s">
        <v>3420</v>
      </c>
      <c r="C50" s="3" t="s">
        <v>3132</v>
      </c>
      <c r="D50" s="3" t="s">
        <v>3135</v>
      </c>
      <c r="E50" s="3" t="s">
        <v>3234</v>
      </c>
      <c r="F50" s="3" t="s">
        <v>3237</v>
      </c>
    </row>
    <row r="51" customFormat="false" ht="48" hidden="false" customHeight="true" outlineLevel="0" collapsed="false">
      <c r="A51" s="13" t="n">
        <v>0.67</v>
      </c>
      <c r="B51" s="3" t="s">
        <v>3420</v>
      </c>
      <c r="C51" s="3" t="s">
        <v>1898</v>
      </c>
      <c r="D51" s="3" t="s">
        <v>1901</v>
      </c>
      <c r="E51" s="3" t="s">
        <v>1655</v>
      </c>
      <c r="F51" s="3" t="s">
        <v>1657</v>
      </c>
    </row>
    <row r="52" customFormat="false" ht="48" hidden="false" customHeight="true" outlineLevel="0" collapsed="false">
      <c r="A52" s="13" t="n">
        <v>0.67</v>
      </c>
      <c r="B52" s="3" t="s">
        <v>3425</v>
      </c>
      <c r="C52" s="3" t="s">
        <v>1443</v>
      </c>
      <c r="D52" s="3" t="s">
        <v>1446</v>
      </c>
      <c r="E52" s="3" t="s">
        <v>1610</v>
      </c>
      <c r="F52" s="3" t="s">
        <v>1613</v>
      </c>
    </row>
    <row r="53" customFormat="false" ht="48" hidden="false" customHeight="true" outlineLevel="0" collapsed="false">
      <c r="A53" s="13" t="n">
        <v>0.67</v>
      </c>
      <c r="B53" s="3" t="s">
        <v>3426</v>
      </c>
      <c r="C53" s="3" t="s">
        <v>891</v>
      </c>
      <c r="D53" s="3" t="s">
        <v>894</v>
      </c>
      <c r="E53" s="3" t="s">
        <v>2551</v>
      </c>
      <c r="F53" s="3" t="s">
        <v>2552</v>
      </c>
    </row>
    <row r="54" customFormat="false" ht="48" hidden="false" customHeight="true" outlineLevel="0" collapsed="false">
      <c r="A54" s="13" t="n">
        <v>0.67</v>
      </c>
      <c r="B54" s="3" t="s">
        <v>3421</v>
      </c>
      <c r="C54" s="3" t="s">
        <v>1257</v>
      </c>
      <c r="D54" s="3" t="s">
        <v>1261</v>
      </c>
      <c r="E54" s="3" t="s">
        <v>2941</v>
      </c>
      <c r="F54" s="3" t="s">
        <v>2943</v>
      </c>
    </row>
    <row r="55" customFormat="false" ht="48" hidden="false" customHeight="true" outlineLevel="0" collapsed="false">
      <c r="A55" s="13" t="n">
        <v>0.66</v>
      </c>
      <c r="B55" s="3" t="s">
        <v>3421</v>
      </c>
      <c r="C55" s="3" t="s">
        <v>1756</v>
      </c>
      <c r="D55" s="3" t="s">
        <v>1760</v>
      </c>
      <c r="E55" s="3" t="s">
        <v>2927</v>
      </c>
      <c r="F55" s="3" t="s">
        <v>2931</v>
      </c>
    </row>
    <row r="56" customFormat="false" ht="48" hidden="false" customHeight="true" outlineLevel="0" collapsed="false">
      <c r="A56" s="13" t="n">
        <v>0.66</v>
      </c>
      <c r="B56" s="3" t="s">
        <v>3421</v>
      </c>
      <c r="C56" s="3" t="s">
        <v>1005</v>
      </c>
      <c r="D56" s="3" t="s">
        <v>1009</v>
      </c>
      <c r="E56" s="3" t="s">
        <v>2356</v>
      </c>
      <c r="F56" s="3" t="s">
        <v>2359</v>
      </c>
    </row>
    <row r="57" customFormat="false" ht="48" hidden="false" customHeight="true" outlineLevel="0" collapsed="false">
      <c r="A57" s="13" t="n">
        <v>0.66</v>
      </c>
      <c r="B57" s="3" t="s">
        <v>3425</v>
      </c>
      <c r="C57" s="3" t="s">
        <v>2545</v>
      </c>
      <c r="D57" s="3" t="s">
        <v>2547</v>
      </c>
      <c r="E57" s="3" t="s">
        <v>2284</v>
      </c>
      <c r="F57" s="3" t="s">
        <v>2286</v>
      </c>
    </row>
    <row r="58" customFormat="false" ht="48" hidden="false" customHeight="true" outlineLevel="0" collapsed="false">
      <c r="A58" s="13" t="n">
        <v>0.66</v>
      </c>
      <c r="B58" s="3" t="s">
        <v>3421</v>
      </c>
      <c r="C58" s="3" t="s">
        <v>922</v>
      </c>
      <c r="D58" s="3" t="s">
        <v>925</v>
      </c>
      <c r="E58" s="3" t="s">
        <v>1060</v>
      </c>
      <c r="F58" s="3" t="s">
        <v>1063</v>
      </c>
    </row>
    <row r="59" customFormat="false" ht="48" hidden="false" customHeight="true" outlineLevel="0" collapsed="false">
      <c r="A59" s="13" t="n">
        <v>0.65</v>
      </c>
      <c r="B59" s="3" t="s">
        <v>3421</v>
      </c>
      <c r="C59" s="3" t="s">
        <v>1756</v>
      </c>
      <c r="D59" s="3" t="s">
        <v>1760</v>
      </c>
      <c r="E59" s="3" t="s">
        <v>2258</v>
      </c>
      <c r="F59" s="3" t="s">
        <v>2262</v>
      </c>
    </row>
    <row r="60" customFormat="false" ht="48" hidden="false" customHeight="true" outlineLevel="0" collapsed="false">
      <c r="A60" s="13" t="n">
        <v>0.65</v>
      </c>
      <c r="B60" s="3" t="s">
        <v>3427</v>
      </c>
      <c r="C60" s="3" t="s">
        <v>1610</v>
      </c>
      <c r="D60" s="3" t="s">
        <v>1613</v>
      </c>
      <c r="E60" s="3" t="s">
        <v>2790</v>
      </c>
      <c r="F60" s="3" t="s">
        <v>2791</v>
      </c>
    </row>
    <row r="61" customFormat="false" ht="48" hidden="false" customHeight="true" outlineLevel="0" collapsed="false">
      <c r="A61" s="13" t="n">
        <v>0.65</v>
      </c>
      <c r="B61" s="3" t="s">
        <v>3421</v>
      </c>
      <c r="C61" s="3" t="s">
        <v>554</v>
      </c>
      <c r="D61" s="3" t="s">
        <v>556</v>
      </c>
      <c r="E61" s="3" t="s">
        <v>2344</v>
      </c>
      <c r="F61" s="3" t="s">
        <v>2346</v>
      </c>
    </row>
    <row r="62" customFormat="false" ht="48" hidden="false" customHeight="true" outlineLevel="0" collapsed="false">
      <c r="A62" s="13" t="n">
        <v>0.65</v>
      </c>
      <c r="B62" s="3" t="s">
        <v>3420</v>
      </c>
      <c r="C62" s="3" t="s">
        <v>3074</v>
      </c>
      <c r="D62" s="3" t="s">
        <v>3076</v>
      </c>
      <c r="E62" s="3" t="s">
        <v>3009</v>
      </c>
      <c r="F62" s="3" t="s">
        <v>3011</v>
      </c>
    </row>
    <row r="63" customFormat="false" ht="48" hidden="false" customHeight="true" outlineLevel="0" collapsed="false">
      <c r="A63" s="13" t="n">
        <v>0.65</v>
      </c>
      <c r="B63" s="3" t="s">
        <v>3420</v>
      </c>
      <c r="C63" s="3" t="s">
        <v>3050</v>
      </c>
      <c r="D63" s="3" t="s">
        <v>3052</v>
      </c>
      <c r="E63" s="3" t="s">
        <v>3234</v>
      </c>
      <c r="F63" s="3" t="s">
        <v>3237</v>
      </c>
    </row>
    <row r="64" customFormat="false" ht="48" hidden="false" customHeight="true" outlineLevel="0" collapsed="false">
      <c r="A64" s="13" t="n">
        <v>0.65</v>
      </c>
      <c r="B64" s="3" t="s">
        <v>3428</v>
      </c>
      <c r="C64" s="3" t="s">
        <v>739</v>
      </c>
      <c r="D64" s="3" t="s">
        <v>743</v>
      </c>
      <c r="E64" s="3" t="s">
        <v>1956</v>
      </c>
      <c r="F64" s="3" t="s">
        <v>1958</v>
      </c>
    </row>
    <row r="65" customFormat="false" ht="48" hidden="false" customHeight="true" outlineLevel="0" collapsed="false">
      <c r="A65" s="13" t="n">
        <v>0.65</v>
      </c>
      <c r="B65" s="3" t="s">
        <v>3421</v>
      </c>
      <c r="C65" s="3" t="s">
        <v>1855</v>
      </c>
      <c r="D65" s="3" t="s">
        <v>1856</v>
      </c>
      <c r="E65" s="3" t="s">
        <v>2601</v>
      </c>
      <c r="F65" s="3" t="s">
        <v>2605</v>
      </c>
    </row>
    <row r="66" customFormat="false" ht="48" hidden="false" customHeight="true" outlineLevel="0" collapsed="false">
      <c r="A66" s="13" t="n">
        <v>0.64</v>
      </c>
      <c r="B66" s="3" t="s">
        <v>3420</v>
      </c>
      <c r="C66" s="3" t="s">
        <v>2350</v>
      </c>
      <c r="D66" s="3" t="s">
        <v>2352</v>
      </c>
      <c r="E66" s="3" t="s">
        <v>2773</v>
      </c>
      <c r="F66" s="3" t="s">
        <v>2775</v>
      </c>
    </row>
    <row r="67" customFormat="false" ht="48" hidden="false" customHeight="true" outlineLevel="0" collapsed="false">
      <c r="A67" s="13" t="n">
        <v>0.64</v>
      </c>
      <c r="B67" s="3" t="s">
        <v>3421</v>
      </c>
      <c r="C67" s="3" t="s">
        <v>1688</v>
      </c>
      <c r="D67" s="3" t="s">
        <v>1691</v>
      </c>
      <c r="E67" s="3" t="s">
        <v>2344</v>
      </c>
      <c r="F67" s="3" t="s">
        <v>2346</v>
      </c>
    </row>
    <row r="68" customFormat="false" ht="48" hidden="false" customHeight="true" outlineLevel="0" collapsed="false">
      <c r="A68" s="13" t="n">
        <v>0.64</v>
      </c>
      <c r="B68" s="3" t="s">
        <v>3421</v>
      </c>
      <c r="C68" s="3" t="s">
        <v>622</v>
      </c>
      <c r="D68" s="3" t="s">
        <v>624</v>
      </c>
      <c r="E68" s="3" t="s">
        <v>983</v>
      </c>
      <c r="F68" s="3" t="s">
        <v>985</v>
      </c>
    </row>
    <row r="69" customFormat="false" ht="48" hidden="false" customHeight="true" outlineLevel="0" collapsed="false">
      <c r="A69" s="13" t="n">
        <v>0.64</v>
      </c>
      <c r="B69" s="3" t="s">
        <v>3420</v>
      </c>
      <c r="C69" s="3" t="s">
        <v>3345</v>
      </c>
      <c r="D69" s="3" t="s">
        <v>3347</v>
      </c>
      <c r="E69" s="3" t="s">
        <v>2180</v>
      </c>
      <c r="F69" s="3" t="s">
        <v>2182</v>
      </c>
    </row>
    <row r="70" customFormat="false" ht="48" hidden="false" customHeight="true" outlineLevel="0" collapsed="false">
      <c r="A70" s="13" t="n">
        <v>0.64</v>
      </c>
      <c r="B70" s="3" t="s">
        <v>3420</v>
      </c>
      <c r="C70" s="3" t="s">
        <v>3234</v>
      </c>
      <c r="D70" s="3" t="s">
        <v>3237</v>
      </c>
      <c r="E70" s="3" t="s">
        <v>1655</v>
      </c>
      <c r="F70" s="3" t="s">
        <v>1657</v>
      </c>
    </row>
    <row r="71" customFormat="false" ht="48" hidden="false" customHeight="true" outlineLevel="0" collapsed="false">
      <c r="A71" s="13" t="n">
        <v>0.64</v>
      </c>
      <c r="B71" s="3" t="s">
        <v>3421</v>
      </c>
      <c r="C71" s="3" t="s">
        <v>2601</v>
      </c>
      <c r="D71" s="3" t="s">
        <v>2605</v>
      </c>
      <c r="E71" s="3" t="s">
        <v>3167</v>
      </c>
      <c r="F71" s="3" t="s">
        <v>3170</v>
      </c>
    </row>
    <row r="72" customFormat="false" ht="48" hidden="false" customHeight="true" outlineLevel="0" collapsed="false">
      <c r="A72" s="13" t="n">
        <v>0.64</v>
      </c>
      <c r="B72" s="3" t="s">
        <v>3420</v>
      </c>
      <c r="C72" s="3" t="s">
        <v>2489</v>
      </c>
      <c r="D72" s="3" t="s">
        <v>2491</v>
      </c>
      <c r="E72" s="3" t="s">
        <v>3050</v>
      </c>
      <c r="F72" s="3" t="s">
        <v>3052</v>
      </c>
    </row>
    <row r="73" customFormat="false" ht="48" hidden="false" customHeight="true" outlineLevel="0" collapsed="false">
      <c r="A73" s="13" t="n">
        <v>0.64</v>
      </c>
      <c r="B73" s="3" t="s">
        <v>3421</v>
      </c>
      <c r="C73" s="3" t="s">
        <v>2431</v>
      </c>
      <c r="D73" s="3" t="s">
        <v>2433</v>
      </c>
      <c r="E73" s="3" t="s">
        <v>3092</v>
      </c>
      <c r="F73" s="3" t="s">
        <v>3094</v>
      </c>
    </row>
    <row r="74" customFormat="false" ht="48" hidden="false" customHeight="true" outlineLevel="0" collapsed="false">
      <c r="A74" s="13" t="n">
        <v>0.64</v>
      </c>
      <c r="B74" s="3" t="s">
        <v>3421</v>
      </c>
      <c r="C74" s="3" t="s">
        <v>2002</v>
      </c>
      <c r="D74" s="3" t="s">
        <v>2004</v>
      </c>
      <c r="E74" s="3" t="s">
        <v>2417</v>
      </c>
      <c r="F74" s="3" t="s">
        <v>2421</v>
      </c>
    </row>
    <row r="75" customFormat="false" ht="48" hidden="false" customHeight="true" outlineLevel="0" collapsed="false">
      <c r="A75" s="13" t="n">
        <v>0.64</v>
      </c>
      <c r="B75" s="3" t="s">
        <v>3420</v>
      </c>
      <c r="C75" s="3" t="s">
        <v>1328</v>
      </c>
      <c r="D75" s="3" t="s">
        <v>1330</v>
      </c>
      <c r="E75" s="3" t="s">
        <v>2515</v>
      </c>
      <c r="F75" s="3" t="s">
        <v>2517</v>
      </c>
    </row>
    <row r="76" customFormat="false" ht="48" hidden="false" customHeight="true" outlineLevel="0" collapsed="false">
      <c r="A76" s="13" t="n">
        <v>0.64</v>
      </c>
      <c r="B76" s="3" t="s">
        <v>3421</v>
      </c>
      <c r="C76" s="3" t="s">
        <v>231</v>
      </c>
      <c r="D76" s="3" t="s">
        <v>235</v>
      </c>
      <c r="E76" s="3" t="s">
        <v>2745</v>
      </c>
      <c r="F76" s="3" t="s">
        <v>2746</v>
      </c>
    </row>
    <row r="77" customFormat="false" ht="48" hidden="false" customHeight="true" outlineLevel="0" collapsed="false">
      <c r="A77" s="13" t="n">
        <v>0.64</v>
      </c>
      <c r="B77" s="3" t="s">
        <v>3421</v>
      </c>
      <c r="C77" s="3" t="s">
        <v>1840</v>
      </c>
      <c r="D77" s="3" t="s">
        <v>1844</v>
      </c>
      <c r="E77" s="3" t="s">
        <v>2941</v>
      </c>
      <c r="F77" s="3" t="s">
        <v>2943</v>
      </c>
    </row>
    <row r="78" customFormat="false" ht="48" hidden="false" customHeight="true" outlineLevel="0" collapsed="false">
      <c r="A78" s="13" t="n">
        <v>0.64</v>
      </c>
      <c r="B78" s="3" t="s">
        <v>3420</v>
      </c>
      <c r="C78" s="3" t="s">
        <v>1821</v>
      </c>
      <c r="D78" s="3" t="s">
        <v>1824</v>
      </c>
      <c r="E78" s="3" t="s">
        <v>1314</v>
      </c>
      <c r="F78" s="3" t="s">
        <v>1317</v>
      </c>
    </row>
    <row r="79" customFormat="false" ht="48" hidden="false" customHeight="true" outlineLevel="0" collapsed="false">
      <c r="A79" s="13" t="n">
        <v>0.64</v>
      </c>
      <c r="B79" s="3" t="s">
        <v>3421</v>
      </c>
      <c r="C79" s="3" t="s">
        <v>1257</v>
      </c>
      <c r="D79" s="3" t="s">
        <v>1261</v>
      </c>
      <c r="E79" s="3" t="s">
        <v>1840</v>
      </c>
      <c r="F79" s="3" t="s">
        <v>1844</v>
      </c>
    </row>
    <row r="80" customFormat="false" ht="48" hidden="false" customHeight="true" outlineLevel="0" collapsed="false">
      <c r="A80" s="13" t="n">
        <v>0.64</v>
      </c>
      <c r="B80" s="3" t="s">
        <v>3421</v>
      </c>
      <c r="C80" s="3" t="s">
        <v>1223</v>
      </c>
      <c r="D80" s="3" t="s">
        <v>1225</v>
      </c>
      <c r="E80" s="3" t="s">
        <v>1136</v>
      </c>
      <c r="F80" s="3" t="s">
        <v>1138</v>
      </c>
    </row>
    <row r="81" customFormat="false" ht="48" hidden="false" customHeight="true" outlineLevel="0" collapsed="false">
      <c r="A81" s="13" t="n">
        <v>0.64</v>
      </c>
      <c r="B81" s="3" t="s">
        <v>3420</v>
      </c>
      <c r="C81" s="3" t="s">
        <v>1213</v>
      </c>
      <c r="D81" s="3" t="s">
        <v>1219</v>
      </c>
      <c r="E81" s="3" t="s">
        <v>2325</v>
      </c>
      <c r="F81" s="3" t="s">
        <v>2328</v>
      </c>
    </row>
    <row r="82" customFormat="false" ht="48" hidden="false" customHeight="true" outlineLevel="0" collapsed="false">
      <c r="A82" s="13" t="n">
        <v>0.63</v>
      </c>
      <c r="B82" s="3" t="s">
        <v>3421</v>
      </c>
      <c r="C82" s="3" t="s">
        <v>1571</v>
      </c>
      <c r="D82" s="3" t="s">
        <v>1572</v>
      </c>
      <c r="E82" s="3" t="s">
        <v>2745</v>
      </c>
      <c r="F82" s="3" t="s">
        <v>2746</v>
      </c>
    </row>
    <row r="83" customFormat="false" ht="48" hidden="false" customHeight="true" outlineLevel="0" collapsed="false">
      <c r="A83" s="13" t="n">
        <v>0.63</v>
      </c>
      <c r="B83" s="3" t="s">
        <v>3421</v>
      </c>
      <c r="C83" s="3" t="s">
        <v>3312</v>
      </c>
      <c r="D83" s="3" t="s">
        <v>3315</v>
      </c>
      <c r="E83" s="3" t="s">
        <v>983</v>
      </c>
      <c r="F83" s="3" t="s">
        <v>985</v>
      </c>
    </row>
    <row r="84" customFormat="false" ht="48" hidden="false" customHeight="true" outlineLevel="0" collapsed="false">
      <c r="A84" s="13" t="n">
        <v>0.63</v>
      </c>
      <c r="B84" s="3" t="s">
        <v>3420</v>
      </c>
      <c r="C84" s="3" t="s">
        <v>3074</v>
      </c>
      <c r="D84" s="3" t="s">
        <v>3076</v>
      </c>
      <c r="E84" s="3" t="s">
        <v>2761</v>
      </c>
      <c r="F84" s="3" t="s">
        <v>2763</v>
      </c>
    </row>
    <row r="85" customFormat="false" ht="48" hidden="false" customHeight="true" outlineLevel="0" collapsed="false">
      <c r="A85" s="13" t="n">
        <v>0.63</v>
      </c>
      <c r="B85" s="3" t="s">
        <v>3421</v>
      </c>
      <c r="C85" s="3" t="s">
        <v>2672</v>
      </c>
      <c r="D85" s="3" t="s">
        <v>2674</v>
      </c>
      <c r="E85" s="3" t="s">
        <v>3067</v>
      </c>
      <c r="F85" s="3" t="s">
        <v>3070</v>
      </c>
    </row>
    <row r="86" customFormat="false" ht="48" hidden="false" customHeight="true" outlineLevel="0" collapsed="false">
      <c r="A86" s="13" t="n">
        <v>0.63</v>
      </c>
      <c r="B86" s="3" t="s">
        <v>3420</v>
      </c>
      <c r="C86" s="3" t="s">
        <v>2489</v>
      </c>
      <c r="D86" s="3" t="s">
        <v>2491</v>
      </c>
      <c r="E86" s="3" t="s">
        <v>2311</v>
      </c>
      <c r="F86" s="3" t="s">
        <v>2314</v>
      </c>
    </row>
    <row r="87" customFormat="false" ht="48" hidden="false" customHeight="true" outlineLevel="0" collapsed="false">
      <c r="A87" s="13" t="n">
        <v>0.63</v>
      </c>
      <c r="B87" s="3" t="s">
        <v>3421</v>
      </c>
      <c r="C87" s="3" t="s">
        <v>1435</v>
      </c>
      <c r="D87" s="3" t="s">
        <v>1439</v>
      </c>
      <c r="E87" s="3" t="s">
        <v>634</v>
      </c>
      <c r="F87" s="3" t="s">
        <v>638</v>
      </c>
    </row>
    <row r="88" customFormat="false" ht="48" hidden="false" customHeight="true" outlineLevel="0" collapsed="false">
      <c r="A88" s="13" t="n">
        <v>0.63</v>
      </c>
      <c r="B88" s="3" t="s">
        <v>3421</v>
      </c>
      <c r="C88" s="3" t="s">
        <v>1828</v>
      </c>
      <c r="D88" s="3" t="s">
        <v>1829</v>
      </c>
      <c r="E88" s="3" t="s">
        <v>2745</v>
      </c>
      <c r="F88" s="3" t="s">
        <v>2746</v>
      </c>
    </row>
    <row r="89" customFormat="false" ht="48" hidden="false" customHeight="true" outlineLevel="0" collapsed="false">
      <c r="A89" s="13" t="n">
        <v>0.63</v>
      </c>
      <c r="B89" s="3" t="s">
        <v>3429</v>
      </c>
      <c r="C89" s="3" t="s">
        <v>1806</v>
      </c>
      <c r="D89" s="3" t="s">
        <v>1810</v>
      </c>
      <c r="E89" s="3" t="s">
        <v>3112</v>
      </c>
      <c r="F89" s="3" t="s">
        <v>3116</v>
      </c>
    </row>
    <row r="90" customFormat="false" ht="48" hidden="false" customHeight="true" outlineLevel="0" collapsed="false">
      <c r="A90" s="13" t="n">
        <v>0.63</v>
      </c>
      <c r="B90" s="3" t="s">
        <v>3423</v>
      </c>
      <c r="C90" s="3" t="s">
        <v>1192</v>
      </c>
      <c r="D90" s="3" t="s">
        <v>1194</v>
      </c>
      <c r="E90" s="3" t="s">
        <v>2685</v>
      </c>
      <c r="F90" s="3" t="s">
        <v>2687</v>
      </c>
    </row>
    <row r="91" customFormat="false" ht="48" hidden="false" customHeight="true" outlineLevel="0" collapsed="false">
      <c r="A91" s="13" t="n">
        <v>0.62</v>
      </c>
      <c r="B91" s="3" t="s">
        <v>3430</v>
      </c>
      <c r="C91" s="3" t="s">
        <v>956</v>
      </c>
      <c r="D91" s="3" t="s">
        <v>958</v>
      </c>
      <c r="E91" s="3" t="s">
        <v>1033</v>
      </c>
      <c r="F91" s="3" t="s">
        <v>1035</v>
      </c>
    </row>
    <row r="92" customFormat="false" ht="48" hidden="false" customHeight="true" outlineLevel="0" collapsed="false">
      <c r="A92" s="13" t="n">
        <v>0.62</v>
      </c>
      <c r="B92" s="3" t="s">
        <v>3421</v>
      </c>
      <c r="C92" s="3" t="s">
        <v>3269</v>
      </c>
      <c r="D92" s="3" t="s">
        <v>3271</v>
      </c>
      <c r="E92" s="3" t="s">
        <v>1769</v>
      </c>
      <c r="F92" s="3" t="s">
        <v>1772</v>
      </c>
    </row>
    <row r="93" customFormat="false" ht="48" hidden="false" customHeight="true" outlineLevel="0" collapsed="false">
      <c r="A93" s="13" t="n">
        <v>0.62</v>
      </c>
      <c r="B93" s="3" t="s">
        <v>3431</v>
      </c>
      <c r="C93" s="3" t="s">
        <v>2633</v>
      </c>
      <c r="D93" s="3" t="s">
        <v>2636</v>
      </c>
      <c r="E93" s="3" t="s">
        <v>2724</v>
      </c>
      <c r="F93" s="3" t="s">
        <v>2727</v>
      </c>
    </row>
    <row r="94" customFormat="false" ht="48" hidden="false" customHeight="true" outlineLevel="0" collapsed="false">
      <c r="A94" s="13" t="n">
        <v>0.62</v>
      </c>
      <c r="B94" s="3" t="s">
        <v>3420</v>
      </c>
      <c r="C94" s="3" t="s">
        <v>2489</v>
      </c>
      <c r="D94" s="3" t="s">
        <v>2491</v>
      </c>
      <c r="E94" s="3" t="s">
        <v>3234</v>
      </c>
      <c r="F94" s="3" t="s">
        <v>3237</v>
      </c>
    </row>
    <row r="95" customFormat="false" ht="48" hidden="false" customHeight="true" outlineLevel="0" collapsed="false">
      <c r="A95" s="13" t="n">
        <v>0.62</v>
      </c>
      <c r="B95" s="3" t="s">
        <v>3425</v>
      </c>
      <c r="C95" s="3" t="s">
        <v>2041</v>
      </c>
      <c r="D95" s="3" t="s">
        <v>2044</v>
      </c>
      <c r="E95" s="3" t="s">
        <v>1546</v>
      </c>
      <c r="F95" s="3" t="s">
        <v>1548</v>
      </c>
    </row>
    <row r="96" customFormat="false" ht="48" hidden="false" customHeight="true" outlineLevel="0" collapsed="false">
      <c r="A96" s="13" t="n">
        <v>0.62</v>
      </c>
      <c r="B96" s="3" t="s">
        <v>3420</v>
      </c>
      <c r="C96" s="3" t="s">
        <v>1898</v>
      </c>
      <c r="D96" s="3" t="s">
        <v>1901</v>
      </c>
      <c r="E96" s="3" t="s">
        <v>3050</v>
      </c>
      <c r="F96" s="3" t="s">
        <v>3052</v>
      </c>
    </row>
    <row r="97" customFormat="false" ht="48" hidden="false" customHeight="true" outlineLevel="0" collapsed="false">
      <c r="A97" s="13" t="n">
        <v>0.62</v>
      </c>
      <c r="B97" s="3" t="s">
        <v>3432</v>
      </c>
      <c r="C97" s="3" t="s">
        <v>1368</v>
      </c>
      <c r="D97" s="3" t="s">
        <v>1372</v>
      </c>
      <c r="E97" s="3" t="s">
        <v>1962</v>
      </c>
      <c r="F97" s="3" t="s">
        <v>1966</v>
      </c>
    </row>
    <row r="98" customFormat="false" ht="48" hidden="false" customHeight="true" outlineLevel="0" collapsed="false">
      <c r="A98" s="13" t="n">
        <v>0.62</v>
      </c>
      <c r="B98" s="3" t="s">
        <v>3433</v>
      </c>
      <c r="C98" s="3" t="s">
        <v>929</v>
      </c>
      <c r="D98" s="3" t="s">
        <v>932</v>
      </c>
      <c r="E98" s="3" t="s">
        <v>2186</v>
      </c>
      <c r="F98" s="3" t="s">
        <v>2188</v>
      </c>
    </row>
    <row r="99" customFormat="false" ht="48" hidden="false" customHeight="true" outlineLevel="0" collapsed="false">
      <c r="A99" s="13" t="n">
        <v>0.62</v>
      </c>
      <c r="B99" s="3" t="s">
        <v>3434</v>
      </c>
      <c r="C99" s="3" t="s">
        <v>872</v>
      </c>
      <c r="D99" s="3" t="s">
        <v>874</v>
      </c>
      <c r="E99" s="3" t="s">
        <v>2790</v>
      </c>
      <c r="F99" s="3" t="s">
        <v>2791</v>
      </c>
    </row>
    <row r="100" customFormat="false" ht="48" hidden="false" customHeight="true" outlineLevel="0" collapsed="false">
      <c r="A100" s="13" t="n">
        <v>0.62</v>
      </c>
      <c r="B100" s="3" t="s">
        <v>3420</v>
      </c>
      <c r="C100" s="3" t="s">
        <v>238</v>
      </c>
      <c r="D100" s="3" t="s">
        <v>241</v>
      </c>
      <c r="E100" s="3" t="s">
        <v>1000</v>
      </c>
      <c r="F100" s="3" t="s">
        <v>1001</v>
      </c>
    </row>
    <row r="101" customFormat="false" ht="48" hidden="false" customHeight="true" outlineLevel="0" collapsed="false">
      <c r="A101" s="13" t="n">
        <v>0.62</v>
      </c>
      <c r="B101" s="3" t="s">
        <v>3421</v>
      </c>
      <c r="C101" s="3" t="s">
        <v>1840</v>
      </c>
      <c r="D101" s="3" t="s">
        <v>1844</v>
      </c>
      <c r="E101" s="3" t="s">
        <v>465</v>
      </c>
      <c r="F101" s="3" t="s">
        <v>471</v>
      </c>
    </row>
    <row r="102" customFormat="false" ht="48" hidden="false" customHeight="true" outlineLevel="0" collapsed="false">
      <c r="A102" s="13" t="n">
        <v>0.62</v>
      </c>
      <c r="B102" s="3" t="s">
        <v>3420</v>
      </c>
      <c r="C102" s="3" t="s">
        <v>1833</v>
      </c>
      <c r="D102" s="3" t="s">
        <v>1836</v>
      </c>
      <c r="E102" s="3" t="s">
        <v>1342</v>
      </c>
      <c r="F102" s="3" t="s">
        <v>1344</v>
      </c>
    </row>
    <row r="103" customFormat="false" ht="48" hidden="false" customHeight="true" outlineLevel="0" collapsed="false">
      <c r="A103" s="13" t="n">
        <v>0.62</v>
      </c>
      <c r="B103" s="3" t="s">
        <v>3421</v>
      </c>
      <c r="C103" s="3" t="s">
        <v>1828</v>
      </c>
      <c r="D103" s="3" t="s">
        <v>1829</v>
      </c>
      <c r="E103" s="3" t="s">
        <v>1733</v>
      </c>
      <c r="F103" s="3" t="s">
        <v>1735</v>
      </c>
    </row>
    <row r="104" customFormat="false" ht="48" hidden="false" customHeight="true" outlineLevel="0" collapsed="false">
      <c r="A104" s="13" t="n">
        <v>0.62</v>
      </c>
      <c r="B104" s="3" t="s">
        <v>3421</v>
      </c>
      <c r="C104" s="3" t="s">
        <v>1257</v>
      </c>
      <c r="D104" s="3" t="s">
        <v>1261</v>
      </c>
      <c r="E104" s="3" t="s">
        <v>465</v>
      </c>
      <c r="F104" s="3" t="s">
        <v>471</v>
      </c>
    </row>
    <row r="105" customFormat="false" ht="48" hidden="false" customHeight="true" outlineLevel="0" collapsed="false">
      <c r="A105" s="13" t="n">
        <v>0.62</v>
      </c>
      <c r="B105" s="3" t="s">
        <v>3420</v>
      </c>
      <c r="C105" s="3" t="s">
        <v>1249</v>
      </c>
      <c r="D105" s="3" t="s">
        <v>1253</v>
      </c>
      <c r="E105" s="3" t="s">
        <v>1833</v>
      </c>
      <c r="F105" s="3" t="s">
        <v>1836</v>
      </c>
    </row>
    <row r="106" customFormat="false" ht="48" hidden="false" customHeight="true" outlineLevel="0" collapsed="false">
      <c r="A106" s="13" t="n">
        <v>0.61</v>
      </c>
      <c r="B106" s="3" t="s">
        <v>3421</v>
      </c>
      <c r="C106" s="3" t="s">
        <v>2745</v>
      </c>
      <c r="D106" s="3" t="s">
        <v>2746</v>
      </c>
      <c r="E106" s="3" t="s">
        <v>2826</v>
      </c>
      <c r="F106" s="3" t="s">
        <v>2828</v>
      </c>
    </row>
    <row r="107" customFormat="false" ht="48" hidden="false" customHeight="true" outlineLevel="0" collapsed="false">
      <c r="A107" s="13" t="n">
        <v>0.61</v>
      </c>
      <c r="B107" s="3" t="s">
        <v>3421</v>
      </c>
      <c r="C107" s="3" t="s">
        <v>1005</v>
      </c>
      <c r="D107" s="3" t="s">
        <v>1009</v>
      </c>
      <c r="E107" s="3" t="s">
        <v>2849</v>
      </c>
      <c r="F107" s="3" t="s">
        <v>2850</v>
      </c>
    </row>
    <row r="108" customFormat="false" ht="48" hidden="false" customHeight="true" outlineLevel="0" collapsed="false">
      <c r="A108" s="13" t="n">
        <v>0.61</v>
      </c>
      <c r="B108" s="3" t="s">
        <v>3420</v>
      </c>
      <c r="C108" s="3" t="s">
        <v>3248</v>
      </c>
      <c r="D108" s="3" t="s">
        <v>3249</v>
      </c>
      <c r="E108" s="3" t="s">
        <v>1680</v>
      </c>
      <c r="F108" s="3" t="s">
        <v>1684</v>
      </c>
    </row>
    <row r="109" customFormat="false" ht="48" hidden="false" customHeight="true" outlineLevel="0" collapsed="false">
      <c r="A109" s="13" t="n">
        <v>0.61</v>
      </c>
      <c r="B109" s="3" t="s">
        <v>3433</v>
      </c>
      <c r="C109" s="3" t="s">
        <v>3050</v>
      </c>
      <c r="D109" s="3" t="s">
        <v>3052</v>
      </c>
      <c r="E109" s="3" t="s">
        <v>2756</v>
      </c>
      <c r="F109" s="3" t="s">
        <v>2757</v>
      </c>
    </row>
    <row r="110" customFormat="false" ht="48" hidden="false" customHeight="true" outlineLevel="0" collapsed="false">
      <c r="A110" s="13" t="n">
        <v>0.61</v>
      </c>
      <c r="B110" s="3" t="s">
        <v>3420</v>
      </c>
      <c r="C110" s="3" t="s">
        <v>2008</v>
      </c>
      <c r="D110" s="3" t="s">
        <v>2012</v>
      </c>
      <c r="E110" s="3" t="s">
        <v>3332</v>
      </c>
      <c r="F110" s="3" t="s">
        <v>3334</v>
      </c>
    </row>
    <row r="111" customFormat="false" ht="48" hidden="false" customHeight="true" outlineLevel="0" collapsed="false">
      <c r="A111" s="13" t="n">
        <v>0.61</v>
      </c>
      <c r="B111" s="3" t="s">
        <v>3421</v>
      </c>
      <c r="C111" s="3" t="s">
        <v>1334</v>
      </c>
      <c r="D111" s="3" t="s">
        <v>1338</v>
      </c>
      <c r="E111" s="3" t="s">
        <v>1435</v>
      </c>
      <c r="F111" s="3" t="s">
        <v>1439</v>
      </c>
    </row>
    <row r="112" customFormat="false" ht="48" hidden="false" customHeight="true" outlineLevel="0" collapsed="false">
      <c r="A112" s="13" t="n">
        <v>0.61</v>
      </c>
      <c r="B112" s="3" t="s">
        <v>3427</v>
      </c>
      <c r="C112" s="3" t="s">
        <v>1265</v>
      </c>
      <c r="D112" s="3" t="s">
        <v>1272</v>
      </c>
      <c r="E112" s="3" t="s">
        <v>2452</v>
      </c>
      <c r="F112" s="3" t="s">
        <v>2455</v>
      </c>
    </row>
    <row r="113" customFormat="false" ht="48" hidden="false" customHeight="true" outlineLevel="0" collapsed="false">
      <c r="A113" s="13" t="n">
        <v>0.61</v>
      </c>
      <c r="B113" s="3" t="s">
        <v>3421</v>
      </c>
      <c r="C113" s="3" t="s">
        <v>307</v>
      </c>
      <c r="D113" s="3" t="s">
        <v>312</v>
      </c>
      <c r="E113" s="3" t="s">
        <v>922</v>
      </c>
      <c r="F113" s="3" t="s">
        <v>925</v>
      </c>
    </row>
    <row r="114" customFormat="false" ht="48" hidden="false" customHeight="true" outlineLevel="0" collapsed="false">
      <c r="A114" s="13" t="n">
        <v>0.61</v>
      </c>
      <c r="B114" s="3" t="s">
        <v>3432</v>
      </c>
      <c r="C114" s="3" t="s">
        <v>178</v>
      </c>
      <c r="D114" s="3" t="s">
        <v>181</v>
      </c>
      <c r="E114" s="3" t="s">
        <v>878</v>
      </c>
      <c r="F114" s="3" t="s">
        <v>881</v>
      </c>
    </row>
    <row r="115" customFormat="false" ht="48" hidden="false" customHeight="true" outlineLevel="0" collapsed="false">
      <c r="A115" s="13" t="n">
        <v>0.61</v>
      </c>
      <c r="B115" s="3" t="s">
        <v>3420</v>
      </c>
      <c r="C115" s="3" t="s">
        <v>1229</v>
      </c>
      <c r="D115" s="3" t="s">
        <v>1237</v>
      </c>
      <c r="E115" s="3" t="s">
        <v>3332</v>
      </c>
      <c r="F115" s="3" t="s">
        <v>3334</v>
      </c>
    </row>
    <row r="116" customFormat="false" ht="48" hidden="false" customHeight="true" outlineLevel="0" collapsed="false">
      <c r="A116" s="13" t="n">
        <v>0.61</v>
      </c>
      <c r="B116" s="3" t="s">
        <v>3420</v>
      </c>
      <c r="C116" s="3" t="s">
        <v>1229</v>
      </c>
      <c r="D116" s="3" t="s">
        <v>1237</v>
      </c>
      <c r="E116" s="3" t="s">
        <v>2008</v>
      </c>
      <c r="F116" s="3" t="s">
        <v>2012</v>
      </c>
    </row>
    <row r="117" customFormat="false" ht="48" hidden="false" customHeight="true" outlineLevel="0" collapsed="false">
      <c r="A117" s="13" t="n">
        <v>0.61</v>
      </c>
      <c r="B117" s="3" t="s">
        <v>3434</v>
      </c>
      <c r="C117" s="3" t="s">
        <v>31</v>
      </c>
      <c r="D117" s="3" t="s">
        <v>45</v>
      </c>
      <c r="E117" s="3" t="s">
        <v>788</v>
      </c>
      <c r="F117" s="3" t="s">
        <v>791</v>
      </c>
    </row>
    <row r="118" customFormat="false" ht="48" hidden="false" customHeight="true" outlineLevel="0" collapsed="false">
      <c r="A118" s="13" t="n">
        <v>0.6</v>
      </c>
      <c r="B118" s="3" t="s">
        <v>3420</v>
      </c>
      <c r="C118" s="3" t="s">
        <v>2311</v>
      </c>
      <c r="D118" s="3" t="s">
        <v>2314</v>
      </c>
      <c r="E118" s="3" t="s">
        <v>2750</v>
      </c>
      <c r="F118" s="3" t="s">
        <v>2752</v>
      </c>
    </row>
    <row r="119" customFormat="false" ht="48" hidden="false" customHeight="true" outlineLevel="0" collapsed="false">
      <c r="A119" s="13" t="n">
        <v>0.6</v>
      </c>
      <c r="B119" s="3" t="s">
        <v>3424</v>
      </c>
      <c r="C119" s="3" t="s">
        <v>554</v>
      </c>
      <c r="D119" s="3" t="s">
        <v>556</v>
      </c>
      <c r="E119" s="3" t="s">
        <v>2963</v>
      </c>
      <c r="F119" s="3" t="s">
        <v>2965</v>
      </c>
    </row>
    <row r="120" customFormat="false" ht="48" hidden="false" customHeight="true" outlineLevel="0" collapsed="false">
      <c r="A120" s="13" t="n">
        <v>0.6</v>
      </c>
      <c r="B120" s="3" t="s">
        <v>3421</v>
      </c>
      <c r="C120" s="3" t="s">
        <v>3312</v>
      </c>
      <c r="D120" s="3" t="s">
        <v>3315</v>
      </c>
      <c r="E120" s="3" t="s">
        <v>2745</v>
      </c>
      <c r="F120" s="3" t="s">
        <v>2746</v>
      </c>
    </row>
    <row r="121" customFormat="false" ht="48" hidden="false" customHeight="true" outlineLevel="0" collapsed="false">
      <c r="A121" s="13" t="n">
        <v>0.6</v>
      </c>
      <c r="B121" s="3" t="s">
        <v>3420</v>
      </c>
      <c r="C121" s="3" t="s">
        <v>2425</v>
      </c>
      <c r="D121" s="3" t="s">
        <v>2427</v>
      </c>
      <c r="E121" s="3" t="s">
        <v>3332</v>
      </c>
      <c r="F121" s="3" t="s">
        <v>3334</v>
      </c>
    </row>
    <row r="122" customFormat="false" ht="48" hidden="false" customHeight="true" outlineLevel="0" collapsed="false">
      <c r="A122" s="13" t="n">
        <v>0.6</v>
      </c>
      <c r="B122" s="3" t="s">
        <v>3420</v>
      </c>
      <c r="C122" s="3" t="s">
        <v>2092</v>
      </c>
      <c r="D122" s="3" t="s">
        <v>2095</v>
      </c>
      <c r="E122" s="3" t="s">
        <v>1680</v>
      </c>
      <c r="F122" s="3" t="s">
        <v>1684</v>
      </c>
    </row>
    <row r="123" customFormat="false" ht="48" hidden="false" customHeight="true" outlineLevel="0" collapsed="false">
      <c r="A123" s="13" t="n">
        <v>0.6</v>
      </c>
      <c r="B123" s="3" t="s">
        <v>3420</v>
      </c>
      <c r="C123" s="3" t="s">
        <v>1898</v>
      </c>
      <c r="D123" s="3" t="s">
        <v>1901</v>
      </c>
      <c r="E123" s="3" t="s">
        <v>3234</v>
      </c>
      <c r="F123" s="3" t="s">
        <v>3237</v>
      </c>
    </row>
    <row r="124" customFormat="false" ht="48" hidden="false" customHeight="true" outlineLevel="0" collapsed="false">
      <c r="A124" s="13" t="n">
        <v>0.6</v>
      </c>
      <c r="B124" s="3" t="s">
        <v>3423</v>
      </c>
      <c r="C124" s="3" t="s">
        <v>1890</v>
      </c>
      <c r="D124" s="3" t="s">
        <v>1894</v>
      </c>
      <c r="E124" s="3" t="s">
        <v>2016</v>
      </c>
      <c r="F124" s="3" t="s">
        <v>2019</v>
      </c>
    </row>
    <row r="125" customFormat="false" ht="48" hidden="false" customHeight="true" outlineLevel="0" collapsed="false">
      <c r="A125" s="13" t="n">
        <v>0.6</v>
      </c>
      <c r="B125" s="3" t="s">
        <v>3435</v>
      </c>
      <c r="C125" s="3" t="s">
        <v>872</v>
      </c>
      <c r="D125" s="3" t="s">
        <v>874</v>
      </c>
      <c r="E125" s="3" t="s">
        <v>1610</v>
      </c>
      <c r="F125" s="3" t="s">
        <v>1613</v>
      </c>
    </row>
    <row r="126" customFormat="false" ht="48" hidden="false" customHeight="true" outlineLevel="0" collapsed="false">
      <c r="A126" s="13" t="n">
        <v>0.6</v>
      </c>
      <c r="B126" s="3" t="s">
        <v>3421</v>
      </c>
      <c r="C126" s="3" t="s">
        <v>244</v>
      </c>
      <c r="D126" s="3" t="s">
        <v>248</v>
      </c>
      <c r="E126" s="3" t="s">
        <v>1334</v>
      </c>
      <c r="F126" s="3" t="s">
        <v>1338</v>
      </c>
    </row>
    <row r="127" customFormat="false" ht="48" hidden="false" customHeight="true" outlineLevel="0" collapsed="false">
      <c r="A127" s="13" t="n">
        <v>0.6</v>
      </c>
      <c r="B127" s="3" t="s">
        <v>3421</v>
      </c>
      <c r="C127" s="3" t="s">
        <v>1828</v>
      </c>
      <c r="D127" s="3" t="s">
        <v>1829</v>
      </c>
      <c r="E127" s="3" t="s">
        <v>622</v>
      </c>
      <c r="F127" s="3" t="s">
        <v>624</v>
      </c>
    </row>
    <row r="128" customFormat="false" ht="48" hidden="false" customHeight="true" outlineLevel="0" collapsed="false">
      <c r="A128" s="13" t="n">
        <v>0.6</v>
      </c>
      <c r="B128" s="3" t="s">
        <v>3421</v>
      </c>
      <c r="C128" s="3" t="s">
        <v>1241</v>
      </c>
      <c r="D128" s="3" t="s">
        <v>1245</v>
      </c>
      <c r="E128" s="3" t="s">
        <v>1855</v>
      </c>
      <c r="F128" s="3" t="s">
        <v>1856</v>
      </c>
    </row>
    <row r="129" customFormat="false" ht="48" hidden="false" customHeight="true" outlineLevel="0" collapsed="false">
      <c r="A129" s="13" t="n">
        <v>0.6</v>
      </c>
      <c r="B129" s="3" t="s">
        <v>3431</v>
      </c>
      <c r="C129" s="3" t="s">
        <v>1181</v>
      </c>
      <c r="D129" s="3" t="s">
        <v>1183</v>
      </c>
      <c r="E129" s="3" t="s">
        <v>2969</v>
      </c>
      <c r="F129" s="3" t="s">
        <v>2971</v>
      </c>
    </row>
    <row r="130" customFormat="false" ht="48" hidden="false" customHeight="true" outlineLevel="0" collapsed="false">
      <c r="A130" s="13" t="n">
        <v>0.6</v>
      </c>
      <c r="B130" s="3" t="s">
        <v>3427</v>
      </c>
      <c r="C130" s="3" t="s">
        <v>1168</v>
      </c>
      <c r="D130" s="3" t="s">
        <v>1171</v>
      </c>
      <c r="E130" s="3" t="s">
        <v>788</v>
      </c>
      <c r="F130" s="3" t="s">
        <v>791</v>
      </c>
    </row>
    <row r="131" customFormat="false" ht="48" hidden="false" customHeight="true" outlineLevel="0" collapsed="false">
      <c r="A131" s="13" t="n">
        <v>0.59</v>
      </c>
      <c r="B131" s="3" t="s">
        <v>3436</v>
      </c>
      <c r="C131" s="3" t="s">
        <v>2217</v>
      </c>
      <c r="D131" s="3" t="s">
        <v>2221</v>
      </c>
      <c r="E131" s="3" t="s">
        <v>2303</v>
      </c>
      <c r="F131" s="3" t="s">
        <v>2307</v>
      </c>
    </row>
    <row r="132" customFormat="false" ht="48" hidden="false" customHeight="true" outlineLevel="0" collapsed="false">
      <c r="A132" s="13" t="n">
        <v>0.59</v>
      </c>
      <c r="B132" s="3" t="s">
        <v>3420</v>
      </c>
      <c r="C132" s="3" t="s">
        <v>1680</v>
      </c>
      <c r="D132" s="3" t="s">
        <v>1684</v>
      </c>
      <c r="E132" s="3" t="s">
        <v>2854</v>
      </c>
      <c r="F132" s="3" t="s">
        <v>2857</v>
      </c>
    </row>
    <row r="133" customFormat="false" ht="48" hidden="false" customHeight="true" outlineLevel="0" collapsed="false">
      <c r="A133" s="13" t="n">
        <v>0.59</v>
      </c>
      <c r="B133" s="3" t="s">
        <v>3421</v>
      </c>
      <c r="C133" s="3" t="s">
        <v>1592</v>
      </c>
      <c r="D133" s="3" t="s">
        <v>1595</v>
      </c>
      <c r="E133" s="3" t="s">
        <v>2174</v>
      </c>
      <c r="F133" s="3" t="s">
        <v>2176</v>
      </c>
    </row>
    <row r="134" customFormat="false" ht="48" hidden="false" customHeight="true" outlineLevel="0" collapsed="false">
      <c r="A134" s="13" t="n">
        <v>0.59</v>
      </c>
      <c r="B134" s="3" t="s">
        <v>3421</v>
      </c>
      <c r="C134" s="3" t="s">
        <v>465</v>
      </c>
      <c r="D134" s="3" t="s">
        <v>471</v>
      </c>
      <c r="E134" s="3" t="s">
        <v>2941</v>
      </c>
      <c r="F134" s="3" t="s">
        <v>2943</v>
      </c>
    </row>
    <row r="135" customFormat="false" ht="48" hidden="false" customHeight="true" outlineLevel="0" collapsed="false">
      <c r="A135" s="13" t="n">
        <v>0.59</v>
      </c>
      <c r="B135" s="3" t="s">
        <v>3421</v>
      </c>
      <c r="C135" s="3" t="s">
        <v>3253</v>
      </c>
      <c r="D135" s="3" t="s">
        <v>3257</v>
      </c>
      <c r="E135" s="3" t="s">
        <v>1756</v>
      </c>
      <c r="F135" s="3" t="s">
        <v>1760</v>
      </c>
    </row>
    <row r="136" customFormat="false" ht="48" hidden="false" customHeight="true" outlineLevel="0" collapsed="false">
      <c r="A136" s="13" t="n">
        <v>0.59</v>
      </c>
      <c r="B136" s="3" t="s">
        <v>3421</v>
      </c>
      <c r="C136" s="3" t="s">
        <v>3067</v>
      </c>
      <c r="D136" s="3" t="s">
        <v>3070</v>
      </c>
      <c r="E136" s="3" t="s">
        <v>2332</v>
      </c>
      <c r="F136" s="3" t="s">
        <v>2334</v>
      </c>
    </row>
    <row r="137" customFormat="false" ht="48" hidden="false" customHeight="true" outlineLevel="0" collapsed="false">
      <c r="A137" s="13" t="n">
        <v>0.59</v>
      </c>
      <c r="B137" s="3" t="s">
        <v>3421</v>
      </c>
      <c r="C137" s="3" t="s">
        <v>2016</v>
      </c>
      <c r="D137" s="3" t="s">
        <v>2019</v>
      </c>
      <c r="E137" s="3" t="s">
        <v>2927</v>
      </c>
      <c r="F137" s="3" t="s">
        <v>2931</v>
      </c>
    </row>
    <row r="138" customFormat="false" ht="48" hidden="false" customHeight="true" outlineLevel="0" collapsed="false">
      <c r="A138" s="13" t="n">
        <v>0.59</v>
      </c>
      <c r="B138" s="3" t="s">
        <v>3427</v>
      </c>
      <c r="C138" s="3" t="s">
        <v>1443</v>
      </c>
      <c r="D138" s="3" t="s">
        <v>1446</v>
      </c>
      <c r="E138" s="3" t="s">
        <v>2790</v>
      </c>
      <c r="F138" s="3" t="s">
        <v>2791</v>
      </c>
    </row>
    <row r="139" customFormat="false" ht="48" hidden="false" customHeight="true" outlineLevel="0" collapsed="false">
      <c r="A139" s="13" t="n">
        <v>0.59</v>
      </c>
      <c r="B139" s="3" t="s">
        <v>3420</v>
      </c>
      <c r="C139" s="3" t="s">
        <v>1314</v>
      </c>
      <c r="D139" s="3" t="s">
        <v>1317</v>
      </c>
      <c r="E139" s="3" t="s">
        <v>2652</v>
      </c>
      <c r="F139" s="3" t="s">
        <v>2655</v>
      </c>
    </row>
    <row r="140" customFormat="false" ht="48" hidden="false" customHeight="true" outlineLevel="0" collapsed="false">
      <c r="A140" s="13" t="n">
        <v>0.59</v>
      </c>
      <c r="B140" s="3" t="s">
        <v>3421</v>
      </c>
      <c r="C140" s="3" t="s">
        <v>859</v>
      </c>
      <c r="D140" s="3" t="s">
        <v>861</v>
      </c>
      <c r="E140" s="3" t="s">
        <v>2941</v>
      </c>
      <c r="F140" s="3" t="s">
        <v>2943</v>
      </c>
    </row>
    <row r="141" customFormat="false" ht="48" hidden="false" customHeight="true" outlineLevel="0" collapsed="false">
      <c r="A141" s="13" t="n">
        <v>0.59</v>
      </c>
      <c r="B141" s="3" t="s">
        <v>3421</v>
      </c>
      <c r="C141" s="3" t="s">
        <v>231</v>
      </c>
      <c r="D141" s="3" t="s">
        <v>235</v>
      </c>
      <c r="E141" s="3" t="s">
        <v>2826</v>
      </c>
      <c r="F141" s="3" t="s">
        <v>2828</v>
      </c>
    </row>
    <row r="142" customFormat="false" ht="48" hidden="false" customHeight="true" outlineLevel="0" collapsed="false">
      <c r="A142" s="13" t="n">
        <v>0.59</v>
      </c>
      <c r="B142" s="3" t="s">
        <v>3421</v>
      </c>
      <c r="C142" s="3" t="s">
        <v>1855</v>
      </c>
      <c r="D142" s="3" t="s">
        <v>1856</v>
      </c>
      <c r="E142" s="3" t="s">
        <v>3167</v>
      </c>
      <c r="F142" s="3" t="s">
        <v>3170</v>
      </c>
    </row>
    <row r="143" customFormat="false" ht="48" hidden="false" customHeight="true" outlineLevel="0" collapsed="false">
      <c r="A143" s="13" t="n">
        <v>0.59</v>
      </c>
      <c r="B143" s="3" t="s">
        <v>3421</v>
      </c>
      <c r="C143" s="3" t="s">
        <v>1828</v>
      </c>
      <c r="D143" s="3" t="s">
        <v>1829</v>
      </c>
      <c r="E143" s="3" t="s">
        <v>3312</v>
      </c>
      <c r="F143" s="3" t="s">
        <v>3315</v>
      </c>
    </row>
    <row r="144" customFormat="false" ht="48" hidden="false" customHeight="true" outlineLevel="0" collapsed="false">
      <c r="A144" s="13" t="n">
        <v>0.59</v>
      </c>
      <c r="B144" s="3" t="s">
        <v>3420</v>
      </c>
      <c r="C144" s="3" t="s">
        <v>1821</v>
      </c>
      <c r="D144" s="3" t="s">
        <v>1824</v>
      </c>
      <c r="E144" s="3" t="s">
        <v>1640</v>
      </c>
      <c r="F144" s="3" t="s">
        <v>1643</v>
      </c>
    </row>
    <row r="145" customFormat="false" ht="48" hidden="false" customHeight="true" outlineLevel="0" collapsed="false">
      <c r="A145" s="13" t="n">
        <v>0.59</v>
      </c>
      <c r="B145" s="3" t="s">
        <v>3421</v>
      </c>
      <c r="C145" s="3" t="s">
        <v>1814</v>
      </c>
      <c r="D145" s="3" t="s">
        <v>1817</v>
      </c>
      <c r="E145" s="3" t="s">
        <v>2417</v>
      </c>
      <c r="F145" s="3" t="s">
        <v>2421</v>
      </c>
    </row>
    <row r="146" customFormat="false" ht="48" hidden="false" customHeight="true" outlineLevel="0" collapsed="false">
      <c r="A146" s="13" t="n">
        <v>0.59</v>
      </c>
      <c r="B146" s="3" t="s">
        <v>3427</v>
      </c>
      <c r="C146" s="3" t="s">
        <v>642</v>
      </c>
      <c r="D146" s="3" t="s">
        <v>644</v>
      </c>
      <c r="E146" s="3" t="s">
        <v>159</v>
      </c>
      <c r="F146" s="3" t="s">
        <v>170</v>
      </c>
    </row>
    <row r="147" customFormat="false" ht="48" hidden="false" customHeight="true" outlineLevel="0" collapsed="false">
      <c r="A147" s="13" t="n">
        <v>0.58</v>
      </c>
      <c r="B147" s="3" t="s">
        <v>3422</v>
      </c>
      <c r="C147" s="3" t="s">
        <v>1769</v>
      </c>
      <c r="D147" s="3" t="s">
        <v>1772</v>
      </c>
      <c r="E147" s="3" t="s">
        <v>2935</v>
      </c>
      <c r="F147" s="3" t="s">
        <v>2937</v>
      </c>
    </row>
    <row r="148" customFormat="false" ht="48" hidden="false" customHeight="true" outlineLevel="0" collapsed="false">
      <c r="A148" s="13" t="n">
        <v>0.58</v>
      </c>
      <c r="B148" s="3" t="s">
        <v>3436</v>
      </c>
      <c r="C148" s="3" t="s">
        <v>969</v>
      </c>
      <c r="D148" s="3" t="s">
        <v>973</v>
      </c>
      <c r="E148" s="3" t="s">
        <v>1045</v>
      </c>
      <c r="F148" s="3" t="s">
        <v>1048</v>
      </c>
    </row>
    <row r="149" customFormat="false" ht="48" hidden="false" customHeight="true" outlineLevel="0" collapsed="false">
      <c r="A149" s="13" t="n">
        <v>0.58</v>
      </c>
      <c r="B149" s="3" t="s">
        <v>3421</v>
      </c>
      <c r="C149" s="3" t="s">
        <v>450</v>
      </c>
      <c r="D149" s="3" t="s">
        <v>454</v>
      </c>
      <c r="E149" s="3" t="s">
        <v>2826</v>
      </c>
      <c r="F149" s="3" t="s">
        <v>2828</v>
      </c>
    </row>
    <row r="150" customFormat="false" ht="48" hidden="false" customHeight="true" outlineLevel="0" collapsed="false">
      <c r="A150" s="13" t="n">
        <v>0.58</v>
      </c>
      <c r="B150" s="3" t="s">
        <v>3421</v>
      </c>
      <c r="C150" s="3" t="s">
        <v>3351</v>
      </c>
      <c r="D150" s="3" t="s">
        <v>3353</v>
      </c>
      <c r="E150" s="3" t="s">
        <v>2186</v>
      </c>
      <c r="F150" s="3" t="s">
        <v>2188</v>
      </c>
    </row>
    <row r="151" customFormat="false" ht="48" hidden="false" customHeight="true" outlineLevel="0" collapsed="false">
      <c r="A151" s="13" t="n">
        <v>0.58</v>
      </c>
      <c r="B151" s="3" t="s">
        <v>3429</v>
      </c>
      <c r="C151" s="3" t="s">
        <v>2665</v>
      </c>
      <c r="D151" s="3" t="s">
        <v>2668</v>
      </c>
      <c r="E151" s="3" t="s">
        <v>956</v>
      </c>
      <c r="F151" s="3" t="s">
        <v>958</v>
      </c>
    </row>
    <row r="152" customFormat="false" ht="48" hidden="false" customHeight="true" outlineLevel="0" collapsed="false">
      <c r="A152" s="13" t="n">
        <v>0.58</v>
      </c>
      <c r="B152" s="3" t="s">
        <v>3421</v>
      </c>
      <c r="C152" s="3" t="s">
        <v>2073</v>
      </c>
      <c r="D152" s="3" t="s">
        <v>2075</v>
      </c>
      <c r="E152" s="3" t="s">
        <v>622</v>
      </c>
      <c r="F152" s="3" t="s">
        <v>624</v>
      </c>
    </row>
    <row r="153" customFormat="false" ht="48" hidden="false" customHeight="true" outlineLevel="0" collapsed="false">
      <c r="A153" s="13" t="n">
        <v>0.58</v>
      </c>
      <c r="B153" s="3" t="s">
        <v>3420</v>
      </c>
      <c r="C153" s="3" t="s">
        <v>2023</v>
      </c>
      <c r="D153" s="3" t="s">
        <v>2025</v>
      </c>
      <c r="E153" s="3" t="s">
        <v>2995</v>
      </c>
      <c r="F153" s="3" t="s">
        <v>2998</v>
      </c>
    </row>
    <row r="154" customFormat="false" ht="48" hidden="false" customHeight="true" outlineLevel="0" collapsed="false">
      <c r="A154" s="13" t="n">
        <v>0.58</v>
      </c>
      <c r="B154" s="3" t="s">
        <v>3421</v>
      </c>
      <c r="C154" s="3" t="s">
        <v>1917</v>
      </c>
      <c r="D154" s="3" t="s">
        <v>1919</v>
      </c>
      <c r="E154" s="3" t="s">
        <v>2509</v>
      </c>
      <c r="F154" s="3" t="s">
        <v>2511</v>
      </c>
    </row>
    <row r="155" customFormat="false" ht="48" hidden="false" customHeight="true" outlineLevel="0" collapsed="false">
      <c r="A155" s="13" t="n">
        <v>0.58</v>
      </c>
      <c r="B155" s="3" t="s">
        <v>3420</v>
      </c>
      <c r="C155" s="3" t="s">
        <v>1898</v>
      </c>
      <c r="D155" s="3" t="s">
        <v>1901</v>
      </c>
      <c r="E155" s="3" t="s">
        <v>2311</v>
      </c>
      <c r="F155" s="3" t="s">
        <v>2314</v>
      </c>
    </row>
    <row r="156" customFormat="false" ht="48" hidden="false" customHeight="true" outlineLevel="0" collapsed="false">
      <c r="A156" s="13" t="n">
        <v>0.58</v>
      </c>
      <c r="B156" s="3" t="s">
        <v>3420</v>
      </c>
      <c r="C156" s="3" t="s">
        <v>1342</v>
      </c>
      <c r="D156" s="3" t="s">
        <v>1344</v>
      </c>
      <c r="E156" s="3" t="s">
        <v>3261</v>
      </c>
      <c r="F156" s="3" t="s">
        <v>3265</v>
      </c>
    </row>
    <row r="157" customFormat="false" ht="48" hidden="false" customHeight="true" outlineLevel="0" collapsed="false">
      <c r="A157" s="13" t="n">
        <v>0.58</v>
      </c>
      <c r="B157" s="3" t="s">
        <v>3421</v>
      </c>
      <c r="C157" s="3" t="s">
        <v>1334</v>
      </c>
      <c r="D157" s="3" t="s">
        <v>1338</v>
      </c>
      <c r="E157" s="3" t="s">
        <v>1060</v>
      </c>
      <c r="F157" s="3" t="s">
        <v>1063</v>
      </c>
    </row>
    <row r="158" customFormat="false" ht="48" hidden="false" customHeight="true" outlineLevel="0" collapsed="false">
      <c r="A158" s="13" t="n">
        <v>0.58</v>
      </c>
      <c r="B158" s="3" t="s">
        <v>3437</v>
      </c>
      <c r="C158" s="3" t="s">
        <v>300</v>
      </c>
      <c r="D158" s="3" t="s">
        <v>304</v>
      </c>
      <c r="E158" s="3" t="s">
        <v>1956</v>
      </c>
      <c r="F158" s="3" t="s">
        <v>1958</v>
      </c>
    </row>
    <row r="159" customFormat="false" ht="48" hidden="false" customHeight="true" outlineLevel="0" collapsed="false">
      <c r="A159" s="13" t="n">
        <v>0.58</v>
      </c>
      <c r="B159" s="3" t="s">
        <v>3421</v>
      </c>
      <c r="C159" s="3" t="s">
        <v>244</v>
      </c>
      <c r="D159" s="3" t="s">
        <v>248</v>
      </c>
      <c r="E159" s="3" t="s">
        <v>1060</v>
      </c>
      <c r="F159" s="3" t="s">
        <v>1063</v>
      </c>
    </row>
    <row r="160" customFormat="false" ht="48" hidden="false" customHeight="true" outlineLevel="0" collapsed="false">
      <c r="A160" s="13" t="n">
        <v>0.58</v>
      </c>
      <c r="B160" s="3" t="s">
        <v>3421</v>
      </c>
      <c r="C160" s="3" t="s">
        <v>1257</v>
      </c>
      <c r="D160" s="3" t="s">
        <v>1261</v>
      </c>
      <c r="E160" s="3" t="s">
        <v>859</v>
      </c>
      <c r="F160" s="3" t="s">
        <v>861</v>
      </c>
    </row>
    <row r="161" customFormat="false" ht="48" hidden="false" customHeight="true" outlineLevel="0" collapsed="false">
      <c r="A161" s="13" t="n">
        <v>0.57</v>
      </c>
      <c r="B161" s="3" t="s">
        <v>3432</v>
      </c>
      <c r="C161" s="3" t="s">
        <v>2290</v>
      </c>
      <c r="D161" s="3" t="s">
        <v>2292</v>
      </c>
      <c r="E161" s="3" t="s">
        <v>2801</v>
      </c>
      <c r="F161" s="3" t="s">
        <v>2803</v>
      </c>
    </row>
    <row r="162" customFormat="false" ht="48" hidden="false" customHeight="true" outlineLevel="0" collapsed="false">
      <c r="A162" s="13" t="n">
        <v>0.57</v>
      </c>
      <c r="B162" s="3" t="s">
        <v>3421</v>
      </c>
      <c r="C162" s="3" t="s">
        <v>983</v>
      </c>
      <c r="D162" s="3" t="s">
        <v>985</v>
      </c>
      <c r="E162" s="3" t="s">
        <v>2745</v>
      </c>
      <c r="F162" s="3" t="s">
        <v>2746</v>
      </c>
    </row>
    <row r="163" customFormat="false" ht="48" hidden="false" customHeight="true" outlineLevel="0" collapsed="false">
      <c r="A163" s="13" t="n">
        <v>0.57</v>
      </c>
      <c r="B163" s="3" t="s">
        <v>3420</v>
      </c>
      <c r="C163" s="3" t="s">
        <v>518</v>
      </c>
      <c r="D163" s="3" t="s">
        <v>522</v>
      </c>
      <c r="E163" s="3" t="s">
        <v>1067</v>
      </c>
      <c r="F163" s="3" t="s">
        <v>1070</v>
      </c>
    </row>
    <row r="164" customFormat="false" ht="48" hidden="false" customHeight="true" outlineLevel="0" collapsed="false">
      <c r="A164" s="13" t="n">
        <v>0.57</v>
      </c>
      <c r="B164" s="3" t="s">
        <v>3420</v>
      </c>
      <c r="C164" s="3" t="s">
        <v>3050</v>
      </c>
      <c r="D164" s="3" t="s">
        <v>3052</v>
      </c>
      <c r="E164" s="3" t="s">
        <v>1655</v>
      </c>
      <c r="F164" s="3" t="s">
        <v>1657</v>
      </c>
    </row>
    <row r="165" customFormat="false" ht="48" hidden="false" customHeight="true" outlineLevel="0" collapsed="false">
      <c r="A165" s="13" t="n">
        <v>0.57</v>
      </c>
      <c r="B165" s="3" t="s">
        <v>3424</v>
      </c>
      <c r="C165" s="3" t="s">
        <v>2685</v>
      </c>
      <c r="D165" s="3" t="s">
        <v>2687</v>
      </c>
      <c r="E165" s="3" t="s">
        <v>2963</v>
      </c>
      <c r="F165" s="3" t="s">
        <v>2965</v>
      </c>
    </row>
    <row r="166" customFormat="false" ht="48" hidden="false" customHeight="true" outlineLevel="0" collapsed="false">
      <c r="A166" s="13" t="n">
        <v>0.57</v>
      </c>
      <c r="B166" s="3" t="s">
        <v>3420</v>
      </c>
      <c r="C166" s="3" t="s">
        <v>2652</v>
      </c>
      <c r="D166" s="3" t="s">
        <v>2655</v>
      </c>
      <c r="E166" s="3" t="s">
        <v>1640</v>
      </c>
      <c r="F166" s="3" t="s">
        <v>1643</v>
      </c>
    </row>
    <row r="167" customFormat="false" ht="48" hidden="false" customHeight="true" outlineLevel="0" collapsed="false">
      <c r="A167" s="13" t="n">
        <v>0.57</v>
      </c>
      <c r="B167" s="3" t="s">
        <v>3420</v>
      </c>
      <c r="C167" s="3" t="s">
        <v>1923</v>
      </c>
      <c r="D167" s="3" t="s">
        <v>1926</v>
      </c>
      <c r="E167" s="3" t="s">
        <v>2854</v>
      </c>
      <c r="F167" s="3" t="s">
        <v>2857</v>
      </c>
    </row>
    <row r="168" customFormat="false" ht="48" hidden="false" customHeight="true" outlineLevel="0" collapsed="false">
      <c r="A168" s="13" t="n">
        <v>0.57</v>
      </c>
      <c r="B168" s="3" t="s">
        <v>3420</v>
      </c>
      <c r="C168" s="3" t="s">
        <v>1911</v>
      </c>
      <c r="D168" s="3" t="s">
        <v>1913</v>
      </c>
      <c r="E168" s="3" t="s">
        <v>2738</v>
      </c>
      <c r="F168" s="3" t="s">
        <v>2741</v>
      </c>
    </row>
    <row r="169" customFormat="false" ht="48" hidden="false" customHeight="true" outlineLevel="0" collapsed="false">
      <c r="A169" s="13" t="n">
        <v>0.57</v>
      </c>
      <c r="B169" s="3" t="s">
        <v>3425</v>
      </c>
      <c r="C169" s="3" t="s">
        <v>1443</v>
      </c>
      <c r="D169" s="3" t="s">
        <v>1446</v>
      </c>
      <c r="E169" s="3" t="s">
        <v>3187</v>
      </c>
      <c r="F169" s="3" t="s">
        <v>3190</v>
      </c>
    </row>
    <row r="170" customFormat="false" ht="48" hidden="false" customHeight="true" outlineLevel="0" collapsed="false">
      <c r="A170" s="13" t="n">
        <v>0.57</v>
      </c>
      <c r="B170" s="3" t="s">
        <v>3433</v>
      </c>
      <c r="C170" s="3" t="s">
        <v>1342</v>
      </c>
      <c r="D170" s="3" t="s">
        <v>1344</v>
      </c>
      <c r="E170" s="3" t="s">
        <v>2697</v>
      </c>
      <c r="F170" s="3" t="s">
        <v>2699</v>
      </c>
    </row>
    <row r="171" customFormat="false" ht="48" hidden="false" customHeight="true" outlineLevel="0" collapsed="false">
      <c r="A171" s="13" t="n">
        <v>0.57</v>
      </c>
      <c r="B171" s="3" t="s">
        <v>3438</v>
      </c>
      <c r="C171" s="3" t="s">
        <v>1282</v>
      </c>
      <c r="D171" s="3" t="s">
        <v>1284</v>
      </c>
      <c r="E171" s="3" t="s">
        <v>2252</v>
      </c>
      <c r="F171" s="3" t="s">
        <v>2254</v>
      </c>
    </row>
    <row r="172" customFormat="false" ht="48" hidden="false" customHeight="true" outlineLevel="0" collapsed="false">
      <c r="A172" s="13" t="n">
        <v>0.57</v>
      </c>
      <c r="B172" s="3" t="s">
        <v>3421</v>
      </c>
      <c r="C172" s="3" t="s">
        <v>1828</v>
      </c>
      <c r="D172" s="3" t="s">
        <v>1829</v>
      </c>
      <c r="E172" s="3" t="s">
        <v>450</v>
      </c>
      <c r="F172" s="3" t="s">
        <v>454</v>
      </c>
    </row>
    <row r="173" customFormat="false" ht="48" hidden="false" customHeight="true" outlineLevel="0" collapsed="false">
      <c r="A173" s="13" t="n">
        <v>0.57</v>
      </c>
      <c r="B173" s="3" t="s">
        <v>3422</v>
      </c>
      <c r="C173" s="3" t="s">
        <v>1223</v>
      </c>
      <c r="D173" s="3" t="s">
        <v>1225</v>
      </c>
      <c r="E173" s="3" t="s">
        <v>442</v>
      </c>
      <c r="F173" s="3" t="s">
        <v>446</v>
      </c>
    </row>
    <row r="174" customFormat="false" ht="48" hidden="false" customHeight="true" outlineLevel="0" collapsed="false">
      <c r="A174" s="13" t="n">
        <v>0.57</v>
      </c>
      <c r="B174" s="3" t="s">
        <v>3423</v>
      </c>
      <c r="C174" s="3" t="s">
        <v>1192</v>
      </c>
      <c r="D174" s="3" t="s">
        <v>1194</v>
      </c>
      <c r="E174" s="3" t="s">
        <v>2861</v>
      </c>
      <c r="F174" s="3" t="s">
        <v>2863</v>
      </c>
    </row>
    <row r="175" customFormat="false" ht="48" hidden="false" customHeight="true" outlineLevel="0" collapsed="false">
      <c r="A175" s="13" t="n">
        <v>0.56</v>
      </c>
      <c r="B175" s="3" t="s">
        <v>3421</v>
      </c>
      <c r="C175" s="3" t="s">
        <v>1005</v>
      </c>
      <c r="D175" s="3" t="s">
        <v>1009</v>
      </c>
      <c r="E175" s="3" t="s">
        <v>2941</v>
      </c>
      <c r="F175" s="3" t="s">
        <v>2943</v>
      </c>
    </row>
    <row r="176" customFormat="false" ht="48" hidden="false" customHeight="true" outlineLevel="0" collapsed="false">
      <c r="A176" s="13" t="n">
        <v>0.56</v>
      </c>
      <c r="B176" s="3" t="s">
        <v>3422</v>
      </c>
      <c r="C176" s="3" t="s">
        <v>3351</v>
      </c>
      <c r="D176" s="3" t="s">
        <v>3353</v>
      </c>
      <c r="E176" s="3" t="s">
        <v>2935</v>
      </c>
      <c r="F176" s="3" t="s">
        <v>2937</v>
      </c>
    </row>
    <row r="177" customFormat="false" ht="48" hidden="false" customHeight="true" outlineLevel="0" collapsed="false">
      <c r="A177" s="13" t="n">
        <v>0.56</v>
      </c>
      <c r="B177" s="3" t="s">
        <v>3421</v>
      </c>
      <c r="C177" s="3" t="s">
        <v>3312</v>
      </c>
      <c r="D177" s="3" t="s">
        <v>3315</v>
      </c>
      <c r="E177" s="3" t="s">
        <v>2231</v>
      </c>
      <c r="F177" s="3" t="s">
        <v>2234</v>
      </c>
    </row>
    <row r="178" customFormat="false" ht="48" hidden="false" customHeight="true" outlineLevel="0" collapsed="false">
      <c r="A178" s="13" t="n">
        <v>0.56</v>
      </c>
      <c r="B178" s="3" t="s">
        <v>3436</v>
      </c>
      <c r="C178" s="3" t="s">
        <v>3293</v>
      </c>
      <c r="D178" s="3" t="s">
        <v>3296</v>
      </c>
      <c r="E178" s="3" t="s">
        <v>2133</v>
      </c>
      <c r="F178" s="3" t="s">
        <v>2134</v>
      </c>
    </row>
    <row r="179" customFormat="false" ht="48" hidden="false" customHeight="true" outlineLevel="0" collapsed="false">
      <c r="A179" s="13" t="n">
        <v>0.56</v>
      </c>
      <c r="B179" s="3" t="s">
        <v>3422</v>
      </c>
      <c r="C179" s="3" t="s">
        <v>3269</v>
      </c>
      <c r="D179" s="3" t="s">
        <v>3271</v>
      </c>
      <c r="E179" s="3" t="s">
        <v>2935</v>
      </c>
      <c r="F179" s="3" t="s">
        <v>2937</v>
      </c>
    </row>
    <row r="180" customFormat="false" ht="48" hidden="false" customHeight="true" outlineLevel="0" collapsed="false">
      <c r="A180" s="13" t="n">
        <v>0.56</v>
      </c>
      <c r="B180" s="3" t="s">
        <v>3420</v>
      </c>
      <c r="C180" s="3" t="s">
        <v>3050</v>
      </c>
      <c r="D180" s="3" t="s">
        <v>3052</v>
      </c>
      <c r="E180" s="3" t="s">
        <v>2311</v>
      </c>
      <c r="F180" s="3" t="s">
        <v>2314</v>
      </c>
    </row>
    <row r="181" customFormat="false" ht="48" hidden="false" customHeight="true" outlineLevel="0" collapsed="false">
      <c r="A181" s="13" t="n">
        <v>0.56</v>
      </c>
      <c r="B181" s="3" t="s">
        <v>3420</v>
      </c>
      <c r="C181" s="3" t="s">
        <v>2594</v>
      </c>
      <c r="D181" s="3" t="s">
        <v>2597</v>
      </c>
      <c r="E181" s="3" t="s">
        <v>2167</v>
      </c>
      <c r="F181" s="3" t="s">
        <v>2170</v>
      </c>
    </row>
    <row r="182" customFormat="false" ht="48" hidden="false" customHeight="true" outlineLevel="0" collapsed="false">
      <c r="A182" s="13" t="n">
        <v>0.56</v>
      </c>
      <c r="B182" s="3" t="s">
        <v>3420</v>
      </c>
      <c r="C182" s="3" t="s">
        <v>2489</v>
      </c>
      <c r="D182" s="3" t="s">
        <v>2491</v>
      </c>
      <c r="E182" s="3" t="s">
        <v>2750</v>
      </c>
      <c r="F182" s="3" t="s">
        <v>2752</v>
      </c>
    </row>
    <row r="183" customFormat="false" ht="48" hidden="false" customHeight="true" outlineLevel="0" collapsed="false">
      <c r="A183" s="13" t="n">
        <v>0.56</v>
      </c>
      <c r="B183" s="3" t="s">
        <v>3421</v>
      </c>
      <c r="C183" s="3" t="s">
        <v>2444</v>
      </c>
      <c r="D183" s="3" t="s">
        <v>2448</v>
      </c>
      <c r="E183" s="3" t="s">
        <v>2174</v>
      </c>
      <c r="F183" s="3" t="s">
        <v>2176</v>
      </c>
    </row>
    <row r="184" customFormat="false" ht="48" hidden="false" customHeight="true" outlineLevel="0" collapsed="false">
      <c r="A184" s="13" t="n">
        <v>0.56</v>
      </c>
      <c r="B184" s="3" t="s">
        <v>3429</v>
      </c>
      <c r="C184" s="3" t="s">
        <v>2397</v>
      </c>
      <c r="D184" s="3" t="s">
        <v>2400</v>
      </c>
      <c r="E184" s="3" t="s">
        <v>2551</v>
      </c>
      <c r="F184" s="3" t="s">
        <v>2552</v>
      </c>
    </row>
    <row r="185" customFormat="false" ht="48" hidden="false" customHeight="true" outlineLevel="0" collapsed="false">
      <c r="A185" s="13" t="n">
        <v>0.56</v>
      </c>
      <c r="B185" s="3" t="s">
        <v>3420</v>
      </c>
      <c r="C185" s="3" t="s">
        <v>2106</v>
      </c>
      <c r="D185" s="3" t="s">
        <v>2108</v>
      </c>
      <c r="E185" s="3" t="s">
        <v>2691</v>
      </c>
      <c r="F185" s="3" t="s">
        <v>2693</v>
      </c>
    </row>
    <row r="186" customFormat="false" ht="48" hidden="false" customHeight="true" outlineLevel="0" collapsed="false">
      <c r="A186" s="13" t="n">
        <v>0.56</v>
      </c>
      <c r="B186" s="3" t="s">
        <v>3420</v>
      </c>
      <c r="C186" s="3" t="s">
        <v>1994</v>
      </c>
      <c r="D186" s="3" t="s">
        <v>1998</v>
      </c>
      <c r="E186" s="3" t="s">
        <v>3050</v>
      </c>
      <c r="F186" s="3" t="s">
        <v>3052</v>
      </c>
    </row>
    <row r="187" customFormat="false" ht="48" hidden="false" customHeight="true" outlineLevel="0" collapsed="false">
      <c r="A187" s="13" t="n">
        <v>0.56</v>
      </c>
      <c r="B187" s="3" t="s">
        <v>3420</v>
      </c>
      <c r="C187" s="3" t="s">
        <v>1937</v>
      </c>
      <c r="D187" s="3" t="s">
        <v>1939</v>
      </c>
      <c r="E187" s="3" t="s">
        <v>1750</v>
      </c>
      <c r="F187" s="3" t="s">
        <v>1752</v>
      </c>
    </row>
    <row r="188" customFormat="false" ht="48" hidden="false" customHeight="true" outlineLevel="0" collapsed="false">
      <c r="A188" s="13" t="n">
        <v>0.56</v>
      </c>
      <c r="B188" s="3" t="s">
        <v>3420</v>
      </c>
      <c r="C188" s="3" t="s">
        <v>1911</v>
      </c>
      <c r="D188" s="3" t="s">
        <v>1913</v>
      </c>
      <c r="E188" s="3" t="s">
        <v>2652</v>
      </c>
      <c r="F188" s="3" t="s">
        <v>2655</v>
      </c>
    </row>
    <row r="189" customFormat="false" ht="48" hidden="false" customHeight="true" outlineLevel="0" collapsed="false">
      <c r="A189" s="13" t="n">
        <v>0.56</v>
      </c>
      <c r="B189" s="3" t="s">
        <v>3423</v>
      </c>
      <c r="C189" s="3" t="s">
        <v>1376</v>
      </c>
      <c r="D189" s="3" t="s">
        <v>1379</v>
      </c>
      <c r="E189" s="3" t="s">
        <v>2016</v>
      </c>
      <c r="F189" s="3" t="s">
        <v>2019</v>
      </c>
    </row>
    <row r="190" customFormat="false" ht="48" hidden="false" customHeight="true" outlineLevel="0" collapsed="false">
      <c r="A190" s="13" t="n">
        <v>0.56</v>
      </c>
      <c r="B190" s="3" t="s">
        <v>3420</v>
      </c>
      <c r="C190" s="3" t="s">
        <v>929</v>
      </c>
      <c r="D190" s="3" t="s">
        <v>932</v>
      </c>
      <c r="E190" s="3" t="s">
        <v>2935</v>
      </c>
      <c r="F190" s="3" t="s">
        <v>2937</v>
      </c>
    </row>
    <row r="191" customFormat="false" ht="48" hidden="false" customHeight="true" outlineLevel="0" collapsed="false">
      <c r="A191" s="13" t="n">
        <v>0.56</v>
      </c>
      <c r="B191" s="3" t="s">
        <v>3421</v>
      </c>
      <c r="C191" s="3" t="s">
        <v>922</v>
      </c>
      <c r="D191" s="3" t="s">
        <v>925</v>
      </c>
      <c r="E191" s="3" t="s">
        <v>634</v>
      </c>
      <c r="F191" s="3" t="s">
        <v>638</v>
      </c>
    </row>
    <row r="192" customFormat="false" ht="48" hidden="false" customHeight="true" outlineLevel="0" collapsed="false">
      <c r="A192" s="13" t="n">
        <v>0.56</v>
      </c>
      <c r="B192" s="3" t="s">
        <v>3421</v>
      </c>
      <c r="C192" s="3" t="s">
        <v>922</v>
      </c>
      <c r="D192" s="3" t="s">
        <v>925</v>
      </c>
      <c r="E192" s="3" t="s">
        <v>1334</v>
      </c>
      <c r="F192" s="3" t="s">
        <v>1338</v>
      </c>
    </row>
    <row r="193" customFormat="false" ht="48" hidden="false" customHeight="true" outlineLevel="0" collapsed="false">
      <c r="A193" s="13" t="n">
        <v>0.56</v>
      </c>
      <c r="B193" s="3" t="s">
        <v>3425</v>
      </c>
      <c r="C193" s="3" t="s">
        <v>722</v>
      </c>
      <c r="D193" s="3" t="s">
        <v>725</v>
      </c>
      <c r="E193" s="3" t="s">
        <v>2117</v>
      </c>
      <c r="F193" s="3" t="s">
        <v>2120</v>
      </c>
    </row>
    <row r="194" customFormat="false" ht="48" hidden="false" customHeight="true" outlineLevel="0" collapsed="false">
      <c r="A194" s="13" t="n">
        <v>0.56</v>
      </c>
      <c r="B194" s="3" t="s">
        <v>3421</v>
      </c>
      <c r="C194" s="3" t="s">
        <v>231</v>
      </c>
      <c r="D194" s="3" t="s">
        <v>235</v>
      </c>
      <c r="E194" s="3" t="s">
        <v>983</v>
      </c>
      <c r="F194" s="3" t="s">
        <v>985</v>
      </c>
    </row>
    <row r="195" customFormat="false" ht="48" hidden="false" customHeight="true" outlineLevel="0" collapsed="false">
      <c r="A195" s="13" t="n">
        <v>0.56</v>
      </c>
      <c r="B195" s="3" t="s">
        <v>3434</v>
      </c>
      <c r="C195" s="3" t="s">
        <v>159</v>
      </c>
      <c r="D195" s="3" t="s">
        <v>170</v>
      </c>
      <c r="E195" s="3" t="s">
        <v>1860</v>
      </c>
      <c r="F195" s="3" t="s">
        <v>1863</v>
      </c>
    </row>
    <row r="196" customFormat="false" ht="48" hidden="false" customHeight="true" outlineLevel="0" collapsed="false">
      <c r="A196" s="13" t="n">
        <v>0.56</v>
      </c>
      <c r="B196" s="3" t="s">
        <v>3421</v>
      </c>
      <c r="C196" s="3" t="s">
        <v>1840</v>
      </c>
      <c r="D196" s="3" t="s">
        <v>1844</v>
      </c>
      <c r="E196" s="3" t="s">
        <v>859</v>
      </c>
      <c r="F196" s="3" t="s">
        <v>861</v>
      </c>
    </row>
    <row r="197" customFormat="false" ht="48" hidden="false" customHeight="true" outlineLevel="0" collapsed="false">
      <c r="A197" s="13" t="n">
        <v>0.56</v>
      </c>
      <c r="B197" s="3" t="s">
        <v>3421</v>
      </c>
      <c r="C197" s="3" t="s">
        <v>1828</v>
      </c>
      <c r="D197" s="3" t="s">
        <v>1829</v>
      </c>
      <c r="E197" s="3" t="s">
        <v>1571</v>
      </c>
      <c r="F197" s="3" t="s">
        <v>1572</v>
      </c>
    </row>
    <row r="198" customFormat="false" ht="48" hidden="false" customHeight="true" outlineLevel="0" collapsed="false">
      <c r="A198" s="13" t="n">
        <v>0.56</v>
      </c>
      <c r="B198" s="3" t="s">
        <v>3420</v>
      </c>
      <c r="C198" s="3" t="s">
        <v>1821</v>
      </c>
      <c r="D198" s="3" t="s">
        <v>1824</v>
      </c>
      <c r="E198" s="3" t="s">
        <v>838</v>
      </c>
      <c r="F198" s="3" t="s">
        <v>842</v>
      </c>
    </row>
    <row r="199" customFormat="false" ht="48" hidden="false" customHeight="true" outlineLevel="0" collapsed="false">
      <c r="A199" s="13" t="n">
        <v>0.56</v>
      </c>
      <c r="B199" s="3" t="s">
        <v>3439</v>
      </c>
      <c r="C199" s="3" t="s">
        <v>1782</v>
      </c>
      <c r="D199" s="3" t="s">
        <v>1785</v>
      </c>
      <c r="E199" s="3" t="s">
        <v>2881</v>
      </c>
      <c r="F199" s="3" t="s">
        <v>2883</v>
      </c>
    </row>
    <row r="200" customFormat="false" ht="48" hidden="false" customHeight="true" outlineLevel="0" collapsed="false">
      <c r="A200" s="13" t="n">
        <v>0.56</v>
      </c>
      <c r="B200" s="3" t="s">
        <v>3420</v>
      </c>
      <c r="C200" s="3" t="s">
        <v>1198</v>
      </c>
      <c r="D200" s="3" t="s">
        <v>1201</v>
      </c>
      <c r="E200" s="3" t="s">
        <v>3319</v>
      </c>
      <c r="F200" s="3" t="s">
        <v>3323</v>
      </c>
    </row>
    <row r="201" customFormat="false" ht="48" hidden="false" customHeight="true" outlineLevel="0" collapsed="false">
      <c r="A201" s="13" t="n">
        <v>0.56</v>
      </c>
      <c r="B201" s="3" t="s">
        <v>3433</v>
      </c>
      <c r="C201" s="3" t="s">
        <v>693</v>
      </c>
      <c r="D201" s="3" t="s">
        <v>699</v>
      </c>
      <c r="E201" s="3" t="s">
        <v>2149</v>
      </c>
      <c r="F201" s="3" t="s">
        <v>2151</v>
      </c>
    </row>
    <row r="202" customFormat="false" ht="48" hidden="false" customHeight="true" outlineLevel="0" collapsed="false">
      <c r="A202" s="13" t="n">
        <v>0.55</v>
      </c>
      <c r="B202" s="3" t="s">
        <v>3420</v>
      </c>
      <c r="C202" s="3" t="s">
        <v>1655</v>
      </c>
      <c r="D202" s="3" t="s">
        <v>1657</v>
      </c>
      <c r="E202" s="3" t="s">
        <v>2750</v>
      </c>
      <c r="F202" s="3" t="s">
        <v>2752</v>
      </c>
    </row>
    <row r="203" customFormat="false" ht="48" hidden="false" customHeight="true" outlineLevel="0" collapsed="false">
      <c r="A203" s="13" t="n">
        <v>0.55</v>
      </c>
      <c r="B203" s="3" t="s">
        <v>3440</v>
      </c>
      <c r="C203" s="3" t="s">
        <v>1558</v>
      </c>
      <c r="D203" s="3" t="s">
        <v>1560</v>
      </c>
      <c r="E203" s="3" t="s">
        <v>2167</v>
      </c>
      <c r="F203" s="3" t="s">
        <v>2170</v>
      </c>
    </row>
    <row r="204" customFormat="false" ht="48" hidden="false" customHeight="true" outlineLevel="0" collapsed="false">
      <c r="A204" s="13" t="n">
        <v>0.55</v>
      </c>
      <c r="B204" s="3" t="s">
        <v>3421</v>
      </c>
      <c r="C204" s="3" t="s">
        <v>450</v>
      </c>
      <c r="D204" s="3" t="s">
        <v>454</v>
      </c>
      <c r="E204" s="3" t="s">
        <v>2745</v>
      </c>
      <c r="F204" s="3" t="s">
        <v>2746</v>
      </c>
    </row>
    <row r="205" customFormat="false" ht="48" hidden="false" customHeight="true" outlineLevel="0" collapsed="false">
      <c r="A205" s="13" t="n">
        <v>0.55</v>
      </c>
      <c r="B205" s="3" t="s">
        <v>3420</v>
      </c>
      <c r="C205" s="3" t="s">
        <v>2008</v>
      </c>
      <c r="D205" s="3" t="s">
        <v>2012</v>
      </c>
      <c r="E205" s="3" t="s">
        <v>3174</v>
      </c>
      <c r="F205" s="3" t="s">
        <v>3176</v>
      </c>
    </row>
    <row r="206" customFormat="false" ht="48" hidden="false" customHeight="true" outlineLevel="0" collapsed="false">
      <c r="A206" s="13" t="n">
        <v>0.55</v>
      </c>
      <c r="B206" s="3" t="s">
        <v>3421</v>
      </c>
      <c r="C206" s="3" t="s">
        <v>859</v>
      </c>
      <c r="D206" s="3" t="s">
        <v>861</v>
      </c>
      <c r="E206" s="3" t="s">
        <v>1422</v>
      </c>
      <c r="F206" s="3" t="s">
        <v>1424</v>
      </c>
    </row>
    <row r="207" customFormat="false" ht="48" hidden="false" customHeight="true" outlineLevel="0" collapsed="false">
      <c r="A207" s="13" t="n">
        <v>0.55</v>
      </c>
      <c r="B207" s="3" t="s">
        <v>3420</v>
      </c>
      <c r="C207" s="3" t="s">
        <v>238</v>
      </c>
      <c r="D207" s="3" t="s">
        <v>241</v>
      </c>
      <c r="E207" s="3" t="s">
        <v>1342</v>
      </c>
      <c r="F207" s="3" t="s">
        <v>1344</v>
      </c>
    </row>
    <row r="208" customFormat="false" ht="48" hidden="false" customHeight="true" outlineLevel="0" collapsed="false">
      <c r="A208" s="13" t="n">
        <v>0.55</v>
      </c>
      <c r="B208" s="3" t="s">
        <v>3420</v>
      </c>
      <c r="C208" s="3" t="s">
        <v>208</v>
      </c>
      <c r="D208" s="3" t="s">
        <v>214</v>
      </c>
      <c r="E208" s="3" t="s">
        <v>1655</v>
      </c>
      <c r="F208" s="3" t="s">
        <v>1657</v>
      </c>
    </row>
    <row r="209" customFormat="false" ht="48" hidden="false" customHeight="true" outlineLevel="0" collapsed="false">
      <c r="A209" s="13" t="n">
        <v>0.55</v>
      </c>
      <c r="B209" s="3" t="s">
        <v>3420</v>
      </c>
      <c r="C209" s="3" t="s">
        <v>1833</v>
      </c>
      <c r="D209" s="3" t="s">
        <v>1836</v>
      </c>
      <c r="E209" s="3" t="s">
        <v>3261</v>
      </c>
      <c r="F209" s="3" t="s">
        <v>3265</v>
      </c>
    </row>
    <row r="210" customFormat="false" ht="48" hidden="false" customHeight="true" outlineLevel="0" collapsed="false">
      <c r="A210" s="13" t="n">
        <v>0.55</v>
      </c>
      <c r="B210" s="3" t="s">
        <v>3441</v>
      </c>
      <c r="C210" s="3" t="s">
        <v>1789</v>
      </c>
      <c r="D210" s="3" t="s">
        <v>1792</v>
      </c>
      <c r="E210" s="3" t="s">
        <v>2795</v>
      </c>
      <c r="F210" s="3" t="s">
        <v>2797</v>
      </c>
    </row>
    <row r="211" customFormat="false" ht="48" hidden="false" customHeight="true" outlineLevel="0" collapsed="false">
      <c r="A211" s="13" t="n">
        <v>0.55</v>
      </c>
      <c r="B211" s="3" t="s">
        <v>3420</v>
      </c>
      <c r="C211" s="3" t="s">
        <v>1229</v>
      </c>
      <c r="D211" s="3" t="s">
        <v>1237</v>
      </c>
      <c r="E211" s="3" t="s">
        <v>2425</v>
      </c>
      <c r="F211" s="3" t="s">
        <v>2427</v>
      </c>
    </row>
    <row r="212" customFormat="false" ht="48" hidden="false" customHeight="true" outlineLevel="0" collapsed="false">
      <c r="A212" s="13" t="n">
        <v>0.55</v>
      </c>
      <c r="B212" s="3" t="s">
        <v>3423</v>
      </c>
      <c r="C212" s="3" t="s">
        <v>1192</v>
      </c>
      <c r="D212" s="3" t="s">
        <v>1194</v>
      </c>
      <c r="E212" s="3" t="s">
        <v>2344</v>
      </c>
      <c r="F212" s="3" t="s">
        <v>2346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90"/>
    <col collapsed="false" customWidth="true" hidden="false" outlineLevel="0" max="3" min="3" style="0" width="70"/>
  </cols>
  <sheetData>
    <row r="1" customFormat="false" ht="17.35" hidden="false" customHeight="false" outlineLevel="0" collapsed="false">
      <c r="A1" s="6" t="s">
        <v>3442</v>
      </c>
    </row>
    <row r="3" customFormat="false" ht="30" hidden="false" customHeight="true" outlineLevel="0" collapsed="false">
      <c r="A3" s="1" t="s">
        <v>3</v>
      </c>
      <c r="B3" s="1" t="s">
        <v>3443</v>
      </c>
      <c r="C3" s="1" t="s">
        <v>3444</v>
      </c>
    </row>
    <row r="4" customFormat="false" ht="259.5" hidden="false" customHeight="true" outlineLevel="0" collapsed="false">
      <c r="A4" s="3" t="s">
        <v>3445</v>
      </c>
      <c r="B4" s="3" t="s">
        <v>3446</v>
      </c>
      <c r="C4" s="3" t="s">
        <v>3447</v>
      </c>
    </row>
    <row r="5" customFormat="false" ht="259.5" hidden="false" customHeight="true" outlineLevel="0" collapsed="false">
      <c r="A5" s="3" t="s">
        <v>3448</v>
      </c>
      <c r="B5" s="3" t="s">
        <v>3449</v>
      </c>
      <c r="C5" s="3" t="s">
        <v>3450</v>
      </c>
    </row>
    <row r="6" customFormat="false" ht="259.5" hidden="false" customHeight="true" outlineLevel="0" collapsed="false">
      <c r="A6" s="3" t="s">
        <v>3451</v>
      </c>
      <c r="B6" s="3" t="s">
        <v>3452</v>
      </c>
      <c r="C6" s="3" t="s">
        <v>3453</v>
      </c>
    </row>
    <row r="7" customFormat="false" ht="259.5" hidden="false" customHeight="true" outlineLevel="0" collapsed="false">
      <c r="A7" s="3" t="s">
        <v>3454</v>
      </c>
      <c r="B7" s="3" t="s">
        <v>3455</v>
      </c>
      <c r="C7" s="3" t="s">
        <v>3456</v>
      </c>
    </row>
    <row r="8" customFormat="false" ht="259.5" hidden="false" customHeight="true" outlineLevel="0" collapsed="false">
      <c r="A8" s="3" t="s">
        <v>3457</v>
      </c>
      <c r="B8" s="3" t="s">
        <v>3458</v>
      </c>
      <c r="C8" s="3"/>
    </row>
    <row r="9" customFormat="false" ht="259.5" hidden="false" customHeight="true" outlineLevel="0" collapsed="false">
      <c r="A9" s="3" t="s">
        <v>3459</v>
      </c>
      <c r="B9" s="3" t="s">
        <v>3460</v>
      </c>
      <c r="C9" s="3" t="s">
        <v>3461</v>
      </c>
    </row>
    <row r="10" customFormat="false" ht="259.5" hidden="false" customHeight="true" outlineLevel="0" collapsed="false">
      <c r="A10" s="3" t="s">
        <v>3462</v>
      </c>
      <c r="B10" s="3" t="s">
        <v>3463</v>
      </c>
      <c r="C10" s="3" t="s">
        <v>3464</v>
      </c>
    </row>
    <row r="11" customFormat="false" ht="259.5" hidden="false" customHeight="true" outlineLevel="0" collapsed="false">
      <c r="A11" s="3" t="s">
        <v>3465</v>
      </c>
      <c r="B11" s="3" t="s">
        <v>3466</v>
      </c>
      <c r="C11" s="3" t="s">
        <v>3467</v>
      </c>
    </row>
    <row r="12" customFormat="false" ht="259.5" hidden="false" customHeight="true" outlineLevel="0" collapsed="false">
      <c r="A12" s="3" t="s">
        <v>3468</v>
      </c>
      <c r="B12" s="3" t="s">
        <v>3469</v>
      </c>
      <c r="C12" s="3" t="s">
        <v>3470</v>
      </c>
    </row>
    <row r="13" customFormat="false" ht="259.5" hidden="false" customHeight="true" outlineLevel="0" collapsed="false">
      <c r="A13" s="3" t="s">
        <v>3471</v>
      </c>
      <c r="B13" s="3" t="s">
        <v>3472</v>
      </c>
      <c r="C13" s="3" t="s">
        <v>3473</v>
      </c>
    </row>
    <row r="14" customFormat="false" ht="259.5" hidden="false" customHeight="true" outlineLevel="0" collapsed="false">
      <c r="A14" s="3" t="s">
        <v>3474</v>
      </c>
      <c r="B14" s="3" t="s">
        <v>3475</v>
      </c>
      <c r="C14" s="3" t="s">
        <v>3476</v>
      </c>
    </row>
    <row r="15" customFormat="false" ht="259.5" hidden="false" customHeight="true" outlineLevel="0" collapsed="false">
      <c r="A15" s="3" t="s">
        <v>3477</v>
      </c>
      <c r="B15" s="3" t="s">
        <v>3478</v>
      </c>
      <c r="C15" s="3" t="s">
        <v>3479</v>
      </c>
    </row>
    <row r="16" customFormat="false" ht="259.5" hidden="false" customHeight="true" outlineLevel="0" collapsed="false">
      <c r="A16" s="3" t="s">
        <v>3480</v>
      </c>
      <c r="B16" s="3" t="s">
        <v>3481</v>
      </c>
      <c r="C16" s="3" t="s">
        <v>3482</v>
      </c>
    </row>
    <row r="17" customFormat="false" ht="259.5" hidden="false" customHeight="true" outlineLevel="0" collapsed="false">
      <c r="A17" s="3" t="s">
        <v>3483</v>
      </c>
      <c r="B17" s="3" t="s">
        <v>3484</v>
      </c>
      <c r="C17" s="3" t="s">
        <v>3485</v>
      </c>
    </row>
    <row r="18" customFormat="false" ht="259.5" hidden="false" customHeight="true" outlineLevel="0" collapsed="false">
      <c r="A18" s="3" t="s">
        <v>3486</v>
      </c>
      <c r="B18" s="3" t="s">
        <v>3487</v>
      </c>
      <c r="C18" s="3" t="s">
        <v>3488</v>
      </c>
    </row>
    <row r="19" customFormat="false" ht="259.5" hidden="false" customHeight="true" outlineLevel="0" collapsed="false">
      <c r="A19" s="3" t="s">
        <v>3489</v>
      </c>
      <c r="B19" s="3" t="s">
        <v>3490</v>
      </c>
      <c r="C19" s="3" t="s">
        <v>3491</v>
      </c>
    </row>
    <row r="20" customFormat="false" ht="259.5" hidden="false" customHeight="true" outlineLevel="0" collapsed="false">
      <c r="A20" s="3" t="s">
        <v>3492</v>
      </c>
      <c r="B20" s="3" t="s">
        <v>3493</v>
      </c>
      <c r="C20" s="3" t="s">
        <v>3494</v>
      </c>
    </row>
    <row r="21" customFormat="false" ht="259.5" hidden="false" customHeight="true" outlineLevel="0" collapsed="false">
      <c r="A21" s="3" t="s">
        <v>3495</v>
      </c>
      <c r="B21" s="3" t="s">
        <v>3496</v>
      </c>
      <c r="C21" s="3" t="s">
        <v>3497</v>
      </c>
    </row>
    <row r="22" customFormat="false" ht="259.5" hidden="false" customHeight="true" outlineLevel="0" collapsed="false">
      <c r="A22" s="3" t="s">
        <v>3498</v>
      </c>
      <c r="B22" s="3" t="s">
        <v>3499</v>
      </c>
      <c r="C22" s="3"/>
    </row>
    <row r="23" customFormat="false" ht="259.5" hidden="false" customHeight="true" outlineLevel="0" collapsed="false">
      <c r="A23" s="3" t="s">
        <v>3500</v>
      </c>
      <c r="B23" s="3" t="s">
        <v>3501</v>
      </c>
      <c r="C23" s="3" t="s">
        <v>3502</v>
      </c>
    </row>
    <row r="24" customFormat="false" ht="259.5" hidden="false" customHeight="true" outlineLevel="0" collapsed="false">
      <c r="A24" s="3" t="s">
        <v>3503</v>
      </c>
      <c r="B24" s="3" t="s">
        <v>3504</v>
      </c>
      <c r="C24" s="3" t="s">
        <v>3505</v>
      </c>
    </row>
    <row r="25" customFormat="false" ht="259.5" hidden="false" customHeight="true" outlineLevel="0" collapsed="false">
      <c r="A25" s="3" t="s">
        <v>3506</v>
      </c>
      <c r="B25" s="3" t="s">
        <v>3507</v>
      </c>
      <c r="C25" s="3" t="s">
        <v>3508</v>
      </c>
    </row>
    <row r="26" customFormat="false" ht="259.5" hidden="false" customHeight="true" outlineLevel="0" collapsed="false">
      <c r="A26" s="3" t="s">
        <v>3509</v>
      </c>
      <c r="B26" s="3" t="s">
        <v>3510</v>
      </c>
      <c r="C26" s="3" t="s">
        <v>3511</v>
      </c>
    </row>
    <row r="27" customFormat="false" ht="259.5" hidden="false" customHeight="true" outlineLevel="0" collapsed="false">
      <c r="A27" s="3" t="s">
        <v>3512</v>
      </c>
      <c r="B27" s="3" t="s">
        <v>3513</v>
      </c>
      <c r="C27" s="3" t="s">
        <v>3514</v>
      </c>
    </row>
    <row r="28" customFormat="false" ht="259.5" hidden="false" customHeight="true" outlineLevel="0" collapsed="false">
      <c r="A28" s="3" t="s">
        <v>3515</v>
      </c>
      <c r="B28" s="3" t="s">
        <v>3516</v>
      </c>
      <c r="C28" s="3" t="s">
        <v>3517</v>
      </c>
    </row>
    <row r="29" customFormat="false" ht="259.5" hidden="false" customHeight="true" outlineLevel="0" collapsed="false">
      <c r="A29" s="3" t="s">
        <v>3518</v>
      </c>
      <c r="B29" s="3" t="s">
        <v>3519</v>
      </c>
      <c r="C29" s="3" t="s">
        <v>3520</v>
      </c>
    </row>
    <row r="30" customFormat="false" ht="259.5" hidden="false" customHeight="true" outlineLevel="0" collapsed="false">
      <c r="A30" s="3" t="s">
        <v>3521</v>
      </c>
      <c r="B30" s="3" t="s">
        <v>3522</v>
      </c>
      <c r="C30" s="3" t="s">
        <v>3523</v>
      </c>
    </row>
    <row r="31" customFormat="false" ht="259.5" hidden="false" customHeight="true" outlineLevel="0" collapsed="false">
      <c r="A31" s="3" t="s">
        <v>3524</v>
      </c>
      <c r="B31" s="3" t="s">
        <v>3525</v>
      </c>
      <c r="C31" s="3" t="s">
        <v>3526</v>
      </c>
    </row>
    <row r="32" customFormat="false" ht="259.5" hidden="false" customHeight="true" outlineLevel="0" collapsed="false">
      <c r="A32" s="3" t="s">
        <v>3527</v>
      </c>
      <c r="B32" s="3" t="s">
        <v>3528</v>
      </c>
      <c r="C32" s="3"/>
    </row>
    <row r="33" customFormat="false" ht="259.5" hidden="false" customHeight="true" outlineLevel="0" collapsed="false">
      <c r="A33" s="3" t="s">
        <v>3529</v>
      </c>
      <c r="B33" s="3" t="s">
        <v>3530</v>
      </c>
      <c r="C33" s="3" t="s">
        <v>3531</v>
      </c>
    </row>
    <row r="34" customFormat="false" ht="259.5" hidden="false" customHeight="true" outlineLevel="0" collapsed="false">
      <c r="A34" s="3" t="s">
        <v>3532</v>
      </c>
      <c r="B34" s="3" t="s">
        <v>3533</v>
      </c>
      <c r="C34" s="3" t="s">
        <v>3534</v>
      </c>
    </row>
    <row r="35" customFormat="false" ht="259.5" hidden="false" customHeight="true" outlineLevel="0" collapsed="false">
      <c r="A35" s="3" t="s">
        <v>3535</v>
      </c>
      <c r="B35" s="3" t="s">
        <v>3536</v>
      </c>
      <c r="C35" s="3" t="s">
        <v>3537</v>
      </c>
    </row>
    <row r="36" customFormat="false" ht="259.5" hidden="false" customHeight="true" outlineLevel="0" collapsed="false">
      <c r="A36" s="3" t="s">
        <v>3538</v>
      </c>
      <c r="B36" s="3" t="s">
        <v>3539</v>
      </c>
      <c r="C36" s="3" t="s">
        <v>3511</v>
      </c>
    </row>
    <row r="37" customFormat="false" ht="259.5" hidden="false" customHeight="true" outlineLevel="0" collapsed="false">
      <c r="A37" s="3" t="s">
        <v>3540</v>
      </c>
      <c r="B37" s="3" t="s">
        <v>3541</v>
      </c>
      <c r="C37" s="3" t="s">
        <v>3542</v>
      </c>
    </row>
    <row r="38" customFormat="false" ht="259.5" hidden="false" customHeight="true" outlineLevel="0" collapsed="false">
      <c r="A38" s="3" t="s">
        <v>3543</v>
      </c>
      <c r="B38" s="3" t="s">
        <v>3544</v>
      </c>
      <c r="C38" s="3" t="s">
        <v>3494</v>
      </c>
    </row>
    <row r="39" customFormat="false" ht="259.5" hidden="false" customHeight="true" outlineLevel="0" collapsed="false">
      <c r="A39" s="3" t="s">
        <v>3545</v>
      </c>
      <c r="B39" s="3" t="s">
        <v>3546</v>
      </c>
      <c r="C39" s="3"/>
    </row>
    <row r="40" customFormat="false" ht="259.5" hidden="false" customHeight="true" outlineLevel="0" collapsed="false">
      <c r="A40" s="3" t="s">
        <v>3547</v>
      </c>
      <c r="B40" s="3" t="s">
        <v>3548</v>
      </c>
      <c r="C40" s="3" t="s">
        <v>3549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5"/>
    <col collapsed="false" customWidth="true" hidden="false" outlineLevel="0" max="3" min="3" style="0" width="14"/>
    <col collapsed="false" customWidth="true" hidden="false" outlineLevel="0" max="4" min="4" style="0" width="10"/>
    <col collapsed="false" customWidth="true" hidden="false" outlineLevel="0" max="5" min="5" style="0" width="8"/>
    <col collapsed="false" customWidth="true" hidden="false" outlineLevel="0" max="7" min="6" style="0" width="12"/>
    <col collapsed="false" customWidth="true" hidden="false" outlineLevel="0" max="9" min="8" style="0" width="13"/>
    <col collapsed="false" customWidth="true" hidden="false" outlineLevel="0" max="10" min="10" style="0" width="35"/>
  </cols>
  <sheetData>
    <row r="1" customFormat="false" ht="17.35" hidden="false" customHeight="false" outlineLevel="0" collapsed="false">
      <c r="A1" s="6" t="s">
        <v>3550</v>
      </c>
    </row>
    <row r="2" customFormat="false" ht="39.75" hidden="false" customHeight="true" outlineLevel="0" collapsed="false">
      <c r="A2" s="14" t="s">
        <v>3551</v>
      </c>
      <c r="B2" s="14"/>
      <c r="C2" s="14"/>
      <c r="D2" s="14"/>
      <c r="E2" s="14"/>
      <c r="F2" s="14"/>
      <c r="G2" s="14"/>
      <c r="H2" s="14"/>
      <c r="I2" s="14"/>
      <c r="J2" s="14"/>
    </row>
    <row r="4" customFormat="false" ht="30" hidden="false" customHeight="true" outlineLevel="0" collapsed="false">
      <c r="A4" s="1" t="s">
        <v>0</v>
      </c>
      <c r="B4" s="1" t="s">
        <v>21</v>
      </c>
      <c r="C4" s="1" t="s">
        <v>3552</v>
      </c>
      <c r="D4" s="1" t="s">
        <v>3553</v>
      </c>
      <c r="E4" s="1" t="s">
        <v>23</v>
      </c>
      <c r="F4" s="1" t="s">
        <v>3554</v>
      </c>
      <c r="G4" s="1" t="s">
        <v>3555</v>
      </c>
      <c r="H4" s="1" t="s">
        <v>3556</v>
      </c>
      <c r="I4" s="1" t="s">
        <v>3557</v>
      </c>
      <c r="J4" s="1" t="s">
        <v>3558</v>
      </c>
    </row>
    <row r="5" customFormat="false" ht="54.75" hidden="false" customHeight="true" outlineLevel="0" collapsed="false">
      <c r="A5" s="3" t="s">
        <v>103</v>
      </c>
      <c r="B5" s="3" t="s">
        <v>111</v>
      </c>
      <c r="C5" s="3" t="s">
        <v>3559</v>
      </c>
      <c r="D5" s="3" t="s">
        <v>64</v>
      </c>
      <c r="E5" s="3" t="n">
        <v>11</v>
      </c>
      <c r="F5" s="15"/>
      <c r="G5" s="15"/>
      <c r="H5" s="15"/>
      <c r="I5" s="15"/>
      <c r="J5" s="15"/>
    </row>
    <row r="6" customFormat="false" ht="54.75" hidden="false" customHeight="true" outlineLevel="0" collapsed="false">
      <c r="A6" s="3" t="s">
        <v>223</v>
      </c>
      <c r="B6" s="3" t="s">
        <v>229</v>
      </c>
      <c r="C6" s="3" t="s">
        <v>3560</v>
      </c>
      <c r="D6" s="3" t="s">
        <v>64</v>
      </c>
      <c r="E6" s="3" t="n">
        <v>11</v>
      </c>
      <c r="F6" s="15"/>
      <c r="G6" s="15"/>
      <c r="H6" s="15"/>
      <c r="I6" s="15"/>
      <c r="J6" s="15"/>
    </row>
    <row r="7" customFormat="false" ht="54.75" hidden="false" customHeight="true" outlineLevel="0" collapsed="false">
      <c r="A7" s="3" t="s">
        <v>251</v>
      </c>
      <c r="B7" s="3" t="s">
        <v>255</v>
      </c>
      <c r="C7" s="3" t="s">
        <v>39</v>
      </c>
      <c r="D7" s="3" t="s">
        <v>252</v>
      </c>
      <c r="E7" s="3" t="n">
        <v>6</v>
      </c>
      <c r="F7" s="15"/>
      <c r="G7" s="15"/>
      <c r="H7" s="15"/>
      <c r="I7" s="15"/>
      <c r="J7" s="15"/>
    </row>
    <row r="8" customFormat="false" ht="54.75" hidden="false" customHeight="true" outlineLevel="0" collapsed="false">
      <c r="A8" s="3" t="s">
        <v>356</v>
      </c>
      <c r="B8" s="3" t="s">
        <v>358</v>
      </c>
      <c r="C8" s="3" t="s">
        <v>124</v>
      </c>
      <c r="D8" s="3" t="s">
        <v>64</v>
      </c>
      <c r="E8" s="3" t="n">
        <v>9</v>
      </c>
      <c r="F8" s="15"/>
      <c r="G8" s="15"/>
      <c r="H8" s="15"/>
      <c r="I8" s="15"/>
      <c r="J8" s="15"/>
    </row>
    <row r="9" customFormat="false" ht="54.75" hidden="false" customHeight="true" outlineLevel="0" collapsed="false">
      <c r="A9" s="3" t="s">
        <v>403</v>
      </c>
      <c r="B9" s="3" t="s">
        <v>407</v>
      </c>
      <c r="C9" s="3" t="s">
        <v>3561</v>
      </c>
      <c r="D9" s="3" t="s">
        <v>64</v>
      </c>
      <c r="E9" s="3" t="n">
        <v>5</v>
      </c>
      <c r="F9" s="15"/>
      <c r="G9" s="15"/>
      <c r="H9" s="15"/>
      <c r="I9" s="15"/>
      <c r="J9" s="15"/>
    </row>
    <row r="10" customFormat="false" ht="54.75" hidden="false" customHeight="true" outlineLevel="0" collapsed="false">
      <c r="A10" s="3" t="s">
        <v>518</v>
      </c>
      <c r="B10" s="3" t="s">
        <v>522</v>
      </c>
      <c r="C10" s="3" t="s">
        <v>3562</v>
      </c>
      <c r="D10" s="3" t="s">
        <v>64</v>
      </c>
      <c r="E10" s="3" t="n">
        <v>10</v>
      </c>
      <c r="F10" s="15"/>
      <c r="G10" s="15"/>
      <c r="H10" s="15"/>
      <c r="I10" s="15"/>
      <c r="J10" s="15"/>
    </row>
    <row r="11" customFormat="false" ht="54.75" hidden="false" customHeight="true" outlineLevel="0" collapsed="false">
      <c r="A11" s="3" t="s">
        <v>628</v>
      </c>
      <c r="B11" s="3" t="s">
        <v>631</v>
      </c>
      <c r="C11" s="3" t="s">
        <v>39</v>
      </c>
      <c r="D11" s="3" t="s">
        <v>64</v>
      </c>
      <c r="E11" s="3" t="n">
        <v>11</v>
      </c>
      <c r="F11" s="15"/>
      <c r="G11" s="15"/>
      <c r="H11" s="15"/>
      <c r="I11" s="15"/>
      <c r="J11" s="15"/>
    </row>
    <row r="12" customFormat="false" ht="54.75" hidden="false" customHeight="true" outlineLevel="0" collapsed="false">
      <c r="A12" s="3" t="s">
        <v>654</v>
      </c>
      <c r="B12" s="3" t="s">
        <v>658</v>
      </c>
      <c r="C12" s="3" t="s">
        <v>3563</v>
      </c>
      <c r="D12" s="3" t="s">
        <v>64</v>
      </c>
      <c r="E12" s="3" t="n">
        <v>7</v>
      </c>
      <c r="F12" s="15"/>
      <c r="G12" s="15"/>
      <c r="H12" s="15"/>
      <c r="I12" s="15"/>
      <c r="J12" s="15"/>
    </row>
    <row r="13" customFormat="false" ht="54.75" hidden="false" customHeight="true" outlineLevel="0" collapsed="false">
      <c r="A13" s="3" t="s">
        <v>722</v>
      </c>
      <c r="B13" s="3" t="s">
        <v>725</v>
      </c>
      <c r="C13" s="3" t="s">
        <v>39</v>
      </c>
      <c r="D13" s="3" t="s">
        <v>163</v>
      </c>
      <c r="E13" s="3" t="n">
        <v>6</v>
      </c>
      <c r="F13" s="15"/>
      <c r="G13" s="15"/>
      <c r="H13" s="15"/>
      <c r="I13" s="15"/>
      <c r="J13" s="15"/>
    </row>
    <row r="14" customFormat="false" ht="54.75" hidden="false" customHeight="true" outlineLevel="0" collapsed="false">
      <c r="A14" s="3" t="s">
        <v>846</v>
      </c>
      <c r="B14" s="3" t="s">
        <v>849</v>
      </c>
      <c r="C14" s="3" t="s">
        <v>124</v>
      </c>
      <c r="D14" s="3" t="s">
        <v>85</v>
      </c>
      <c r="E14" s="3" t="n">
        <v>12</v>
      </c>
      <c r="F14" s="15"/>
      <c r="G14" s="15"/>
      <c r="H14" s="15"/>
      <c r="I14" s="15"/>
      <c r="J14" s="15"/>
    </row>
    <row r="15" customFormat="false" ht="54.75" hidden="false" customHeight="true" outlineLevel="0" collapsed="false">
      <c r="A15" s="3" t="s">
        <v>878</v>
      </c>
      <c r="B15" s="3" t="s">
        <v>881</v>
      </c>
      <c r="C15" s="3" t="s">
        <v>3564</v>
      </c>
      <c r="D15" s="3" t="s">
        <v>64</v>
      </c>
      <c r="E15" s="3" t="n">
        <v>7</v>
      </c>
      <c r="F15" s="15"/>
      <c r="G15" s="15"/>
      <c r="H15" s="15"/>
      <c r="I15" s="15"/>
      <c r="J15" s="15"/>
    </row>
    <row r="16" customFormat="false" ht="54.75" hidden="false" customHeight="true" outlineLevel="0" collapsed="false">
      <c r="A16" s="3" t="s">
        <v>941</v>
      </c>
      <c r="B16" s="3" t="s">
        <v>946</v>
      </c>
      <c r="C16" s="3" t="s">
        <v>142</v>
      </c>
      <c r="D16" s="3" t="s">
        <v>64</v>
      </c>
      <c r="E16" s="3" t="n">
        <v>6</v>
      </c>
      <c r="F16" s="15"/>
      <c r="G16" s="15"/>
      <c r="H16" s="15"/>
      <c r="I16" s="15"/>
      <c r="J16" s="15"/>
    </row>
    <row r="17" customFormat="false" ht="54.75" hidden="false" customHeight="true" outlineLevel="0" collapsed="false">
      <c r="A17" s="3" t="s">
        <v>1020</v>
      </c>
      <c r="B17" s="3" t="s">
        <v>1024</v>
      </c>
      <c r="C17" s="3" t="s">
        <v>3565</v>
      </c>
      <c r="D17" s="3" t="s">
        <v>64</v>
      </c>
      <c r="E17" s="3" t="n">
        <v>8</v>
      </c>
      <c r="F17" s="15"/>
      <c r="G17" s="15"/>
      <c r="H17" s="15"/>
      <c r="I17" s="15"/>
      <c r="J17" s="15"/>
    </row>
    <row r="18" customFormat="false" ht="54.75" hidden="false" customHeight="true" outlineLevel="0" collapsed="false">
      <c r="A18" s="3" t="s">
        <v>1098</v>
      </c>
      <c r="B18" s="3" t="s">
        <v>1101</v>
      </c>
      <c r="C18" s="3" t="s">
        <v>151</v>
      </c>
      <c r="D18" s="3" t="s">
        <v>280</v>
      </c>
      <c r="E18" s="3" t="n">
        <v>8</v>
      </c>
      <c r="F18" s="15"/>
      <c r="G18" s="15"/>
      <c r="H18" s="15"/>
      <c r="I18" s="15"/>
      <c r="J18" s="15"/>
    </row>
    <row r="19" customFormat="false" ht="54.75" hidden="false" customHeight="true" outlineLevel="0" collapsed="false">
      <c r="A19" s="3" t="s">
        <v>1192</v>
      </c>
      <c r="B19" s="3" t="s">
        <v>1194</v>
      </c>
      <c r="C19" s="3" t="s">
        <v>39</v>
      </c>
      <c r="D19" s="3" t="s">
        <v>813</v>
      </c>
      <c r="E19" s="3" t="n">
        <v>10</v>
      </c>
      <c r="F19" s="15"/>
      <c r="G19" s="15"/>
      <c r="H19" s="15"/>
      <c r="I19" s="15"/>
      <c r="J19" s="15"/>
    </row>
    <row r="20" customFormat="false" ht="54.75" hidden="false" customHeight="true" outlineLevel="0" collapsed="false">
      <c r="A20" s="3" t="s">
        <v>1308</v>
      </c>
      <c r="B20" s="3" t="s">
        <v>1310</v>
      </c>
      <c r="C20" s="3" t="s">
        <v>209</v>
      </c>
      <c r="D20" s="3" t="s">
        <v>813</v>
      </c>
      <c r="E20" s="3" t="n">
        <v>12</v>
      </c>
      <c r="F20" s="15"/>
      <c r="G20" s="15"/>
      <c r="H20" s="15"/>
      <c r="I20" s="15"/>
      <c r="J20" s="15"/>
    </row>
    <row r="21" customFormat="false" ht="54.75" hidden="false" customHeight="true" outlineLevel="0" collapsed="false">
      <c r="A21" s="3" t="s">
        <v>1416</v>
      </c>
      <c r="B21" s="3" t="s">
        <v>1419</v>
      </c>
      <c r="C21" s="3" t="s">
        <v>193</v>
      </c>
      <c r="D21" s="3" t="s">
        <v>64</v>
      </c>
      <c r="E21" s="3" t="n">
        <v>17</v>
      </c>
      <c r="F21" s="15"/>
      <c r="G21" s="15"/>
      <c r="H21" s="15"/>
      <c r="I21" s="15"/>
      <c r="J21" s="15"/>
    </row>
    <row r="22" customFormat="false" ht="54.75" hidden="false" customHeight="true" outlineLevel="0" collapsed="false">
      <c r="A22" s="3" t="s">
        <v>1492</v>
      </c>
      <c r="B22" s="3" t="s">
        <v>1498</v>
      </c>
      <c r="C22" s="3" t="s">
        <v>3566</v>
      </c>
      <c r="D22" s="3" t="s">
        <v>64</v>
      </c>
      <c r="E22" s="3" t="n">
        <v>12</v>
      </c>
      <c r="F22" s="15"/>
      <c r="G22" s="15"/>
      <c r="H22" s="15"/>
      <c r="I22" s="15"/>
      <c r="J22" s="15"/>
    </row>
    <row r="23" customFormat="false" ht="54.75" hidden="false" customHeight="true" outlineLevel="0" collapsed="false">
      <c r="A23" s="3" t="s">
        <v>1582</v>
      </c>
      <c r="B23" s="3" t="s">
        <v>1584</v>
      </c>
      <c r="C23" s="3" t="s">
        <v>151</v>
      </c>
      <c r="D23" s="3" t="s">
        <v>813</v>
      </c>
      <c r="E23" s="3" t="n">
        <v>12</v>
      </c>
      <c r="F23" s="15"/>
      <c r="G23" s="15"/>
      <c r="H23" s="15"/>
      <c r="I23" s="15"/>
      <c r="J23" s="15"/>
    </row>
    <row r="24" customFormat="false" ht="54.75" hidden="false" customHeight="true" outlineLevel="0" collapsed="false">
      <c r="A24" s="3" t="s">
        <v>1617</v>
      </c>
      <c r="B24" s="3" t="s">
        <v>1620</v>
      </c>
      <c r="C24" s="3" t="s">
        <v>3564</v>
      </c>
      <c r="D24" s="3" t="s">
        <v>64</v>
      </c>
      <c r="E24" s="3" t="n">
        <v>7</v>
      </c>
      <c r="F24" s="15"/>
      <c r="G24" s="15"/>
      <c r="H24" s="15"/>
      <c r="I24" s="15"/>
      <c r="J24" s="15"/>
    </row>
    <row r="25" customFormat="false" ht="54.75" hidden="false" customHeight="true" outlineLevel="0" collapsed="false">
      <c r="A25" s="3" t="s">
        <v>1702</v>
      </c>
      <c r="B25" s="3" t="s">
        <v>1705</v>
      </c>
      <c r="C25" s="3" t="s">
        <v>594</v>
      </c>
      <c r="D25" s="3" t="s">
        <v>53</v>
      </c>
      <c r="E25" s="3" t="n">
        <v>7</v>
      </c>
      <c r="F25" s="15"/>
      <c r="G25" s="15"/>
      <c r="H25" s="15"/>
      <c r="I25" s="15"/>
      <c r="J25" s="15"/>
    </row>
    <row r="26" customFormat="false" ht="54.75" hidden="false" customHeight="true" outlineLevel="0" collapsed="false">
      <c r="A26" s="3" t="s">
        <v>1806</v>
      </c>
      <c r="B26" s="3" t="s">
        <v>1810</v>
      </c>
      <c r="C26" s="3" t="s">
        <v>3567</v>
      </c>
      <c r="D26" s="3" t="s">
        <v>64</v>
      </c>
      <c r="E26" s="3" t="n">
        <v>10</v>
      </c>
      <c r="F26" s="15"/>
      <c r="G26" s="15"/>
      <c r="H26" s="15"/>
      <c r="I26" s="15"/>
      <c r="J26" s="15"/>
    </row>
    <row r="27" customFormat="false" ht="54.75" hidden="false" customHeight="true" outlineLevel="0" collapsed="false">
      <c r="A27" s="3" t="s">
        <v>1937</v>
      </c>
      <c r="B27" s="3" t="s">
        <v>1939</v>
      </c>
      <c r="C27" s="3" t="s">
        <v>1266</v>
      </c>
      <c r="D27" s="3" t="s">
        <v>64</v>
      </c>
      <c r="E27" s="3" t="n">
        <v>15</v>
      </c>
      <c r="F27" s="15"/>
      <c r="G27" s="15"/>
      <c r="H27" s="15"/>
      <c r="I27" s="15"/>
      <c r="J27" s="15"/>
    </row>
    <row r="28" customFormat="false" ht="54.75" hidden="false" customHeight="true" outlineLevel="0" collapsed="false">
      <c r="A28" s="3" t="s">
        <v>1977</v>
      </c>
      <c r="B28" s="3" t="s">
        <v>1979</v>
      </c>
      <c r="C28" s="3" t="s">
        <v>3568</v>
      </c>
      <c r="D28" s="3" t="s">
        <v>813</v>
      </c>
      <c r="E28" s="3" t="n">
        <v>9</v>
      </c>
      <c r="F28" s="15"/>
      <c r="G28" s="15"/>
      <c r="H28" s="15"/>
      <c r="I28" s="15"/>
      <c r="J28" s="15"/>
    </row>
    <row r="29" customFormat="false" ht="54.75" hidden="false" customHeight="true" outlineLevel="0" collapsed="false">
      <c r="A29" s="3" t="s">
        <v>2112</v>
      </c>
      <c r="B29" s="3" t="s">
        <v>2115</v>
      </c>
      <c r="C29" s="3" t="s">
        <v>3569</v>
      </c>
      <c r="D29" s="3" t="s">
        <v>813</v>
      </c>
      <c r="E29" s="3" t="n">
        <v>16</v>
      </c>
      <c r="F29" s="15"/>
      <c r="G29" s="15"/>
      <c r="H29" s="15"/>
      <c r="I29" s="15"/>
      <c r="J29" s="15"/>
    </row>
    <row r="30" customFormat="false" ht="54.75" hidden="false" customHeight="true" outlineLevel="0" collapsed="false">
      <c r="A30" s="3" t="s">
        <v>2180</v>
      </c>
      <c r="B30" s="3" t="s">
        <v>2182</v>
      </c>
      <c r="C30" s="3" t="s">
        <v>3570</v>
      </c>
      <c r="D30" s="3" t="s">
        <v>64</v>
      </c>
      <c r="E30" s="3" t="n">
        <v>17</v>
      </c>
      <c r="F30" s="15"/>
      <c r="G30" s="15"/>
      <c r="H30" s="15"/>
      <c r="I30" s="15"/>
      <c r="J30" s="15"/>
    </row>
    <row r="31" customFormat="false" ht="54.75" hidden="false" customHeight="true" outlineLevel="0" collapsed="false">
      <c r="A31" s="3" t="s">
        <v>2192</v>
      </c>
      <c r="B31" s="3" t="s">
        <v>2196</v>
      </c>
      <c r="C31" s="3" t="s">
        <v>164</v>
      </c>
      <c r="D31" s="3" t="s">
        <v>53</v>
      </c>
      <c r="E31" s="3" t="n">
        <v>8</v>
      </c>
      <c r="F31" s="15"/>
      <c r="G31" s="15"/>
      <c r="H31" s="15"/>
      <c r="I31" s="15"/>
      <c r="J31" s="15"/>
    </row>
    <row r="32" customFormat="false" ht="54.75" hidden="false" customHeight="true" outlineLevel="0" collapsed="false">
      <c r="A32" s="3" t="s">
        <v>2284</v>
      </c>
      <c r="B32" s="3" t="s">
        <v>2286</v>
      </c>
      <c r="C32" s="3" t="s">
        <v>694</v>
      </c>
      <c r="D32" s="3" t="s">
        <v>1703</v>
      </c>
      <c r="E32" s="3" t="n">
        <v>8</v>
      </c>
      <c r="F32" s="15"/>
      <c r="G32" s="15"/>
      <c r="H32" s="15"/>
      <c r="I32" s="15"/>
      <c r="J32" s="15"/>
    </row>
    <row r="33" customFormat="false" ht="54.75" hidden="false" customHeight="true" outlineLevel="0" collapsed="false">
      <c r="A33" s="3" t="s">
        <v>2534</v>
      </c>
      <c r="B33" s="3" t="s">
        <v>2536</v>
      </c>
      <c r="C33" s="3" t="s">
        <v>3571</v>
      </c>
      <c r="D33" s="3" t="s">
        <v>813</v>
      </c>
      <c r="E33" s="3" t="n">
        <v>21</v>
      </c>
      <c r="F33" s="15"/>
      <c r="G33" s="15"/>
      <c r="H33" s="15"/>
      <c r="I33" s="15"/>
      <c r="J33" s="15"/>
    </row>
    <row r="34" customFormat="false" ht="54.75" hidden="false" customHeight="true" outlineLevel="0" collapsed="false">
      <c r="A34" s="3" t="s">
        <v>2545</v>
      </c>
      <c r="B34" s="3" t="s">
        <v>2547</v>
      </c>
      <c r="C34" s="3" t="s">
        <v>694</v>
      </c>
      <c r="D34" s="3" t="s">
        <v>1703</v>
      </c>
      <c r="E34" s="3" t="n">
        <v>9</v>
      </c>
      <c r="F34" s="15"/>
      <c r="G34" s="15"/>
      <c r="H34" s="15"/>
      <c r="I34" s="15"/>
      <c r="J34" s="15"/>
    </row>
    <row r="35" customFormat="false" ht="54.75" hidden="false" customHeight="true" outlineLevel="0" collapsed="false">
      <c r="A35" s="3" t="s">
        <v>2672</v>
      </c>
      <c r="B35" s="3" t="s">
        <v>2674</v>
      </c>
      <c r="C35" s="3" t="s">
        <v>1214</v>
      </c>
      <c r="D35" s="3" t="s">
        <v>813</v>
      </c>
      <c r="E35" s="3" t="n">
        <v>16</v>
      </c>
      <c r="F35" s="15"/>
      <c r="G35" s="15"/>
      <c r="H35" s="15"/>
      <c r="I35" s="15"/>
      <c r="J35" s="15"/>
    </row>
    <row r="36" customFormat="false" ht="54.75" hidden="false" customHeight="true" outlineLevel="0" collapsed="false">
      <c r="A36" s="3" t="s">
        <v>2731</v>
      </c>
      <c r="B36" s="3" t="s">
        <v>2735</v>
      </c>
      <c r="C36" s="3" t="s">
        <v>3572</v>
      </c>
      <c r="D36" s="3" t="s">
        <v>813</v>
      </c>
      <c r="E36" s="3" t="n">
        <v>12</v>
      </c>
      <c r="F36" s="15"/>
      <c r="G36" s="15"/>
      <c r="H36" s="15"/>
      <c r="I36" s="15"/>
      <c r="J36" s="15"/>
    </row>
    <row r="37" customFormat="false" ht="54.75" hidden="false" customHeight="true" outlineLevel="0" collapsed="false">
      <c r="A37" s="3" t="s">
        <v>2849</v>
      </c>
      <c r="B37" s="3" t="s">
        <v>2850</v>
      </c>
      <c r="C37" s="3" t="s">
        <v>3573</v>
      </c>
      <c r="D37" s="3" t="s">
        <v>813</v>
      </c>
      <c r="E37" s="3" t="n">
        <v>21</v>
      </c>
      <c r="F37" s="15"/>
      <c r="G37" s="15"/>
      <c r="H37" s="15"/>
      <c r="I37" s="15"/>
      <c r="J37" s="15"/>
    </row>
    <row r="38" customFormat="false" ht="54.75" hidden="false" customHeight="true" outlineLevel="0" collapsed="false">
      <c r="A38" s="3" t="s">
        <v>2905</v>
      </c>
      <c r="B38" s="3" t="s">
        <v>2908</v>
      </c>
      <c r="C38" s="3" t="s">
        <v>3574</v>
      </c>
      <c r="D38" s="3" t="s">
        <v>813</v>
      </c>
      <c r="E38" s="3" t="n">
        <v>14</v>
      </c>
      <c r="F38" s="15"/>
      <c r="G38" s="15"/>
      <c r="H38" s="15"/>
      <c r="I38" s="15"/>
      <c r="J38" s="15"/>
    </row>
    <row r="39" customFormat="false" ht="54.75" hidden="false" customHeight="true" outlineLevel="0" collapsed="false">
      <c r="A39" s="3" t="s">
        <v>2969</v>
      </c>
      <c r="B39" s="3" t="s">
        <v>2971</v>
      </c>
      <c r="C39" s="3" t="s">
        <v>3568</v>
      </c>
      <c r="D39" s="3" t="s">
        <v>813</v>
      </c>
      <c r="E39" s="3" t="n">
        <v>12</v>
      </c>
      <c r="F39" s="15"/>
      <c r="G39" s="15"/>
      <c r="H39" s="15"/>
      <c r="I39" s="15"/>
      <c r="J39" s="15"/>
    </row>
    <row r="40" customFormat="false" ht="54.75" hidden="false" customHeight="true" outlineLevel="0" collapsed="false">
      <c r="A40" s="3" t="s">
        <v>3241</v>
      </c>
      <c r="B40" s="3" t="s">
        <v>3245</v>
      </c>
      <c r="C40" s="3" t="s">
        <v>3575</v>
      </c>
      <c r="D40" s="3" t="s">
        <v>813</v>
      </c>
      <c r="E40" s="3" t="n">
        <v>21</v>
      </c>
      <c r="F40" s="15"/>
      <c r="G40" s="15"/>
      <c r="H40" s="15"/>
      <c r="I40" s="15"/>
      <c r="J40" s="15"/>
    </row>
    <row r="41" customFormat="false" ht="54.75" hidden="false" customHeight="true" outlineLevel="0" collapsed="false">
      <c r="A41" s="3" t="s">
        <v>3345</v>
      </c>
      <c r="B41" s="3" t="s">
        <v>3347</v>
      </c>
      <c r="C41" s="3" t="s">
        <v>3576</v>
      </c>
      <c r="D41" s="3" t="s">
        <v>64</v>
      </c>
      <c r="E41" s="3" t="n">
        <v>21</v>
      </c>
      <c r="F41" s="15"/>
      <c r="G41" s="15"/>
      <c r="H41" s="15"/>
      <c r="I41" s="15"/>
      <c r="J41" s="15"/>
    </row>
  </sheetData>
  <mergeCells count="1">
    <mergeCell ref="A2:J2"/>
  </mergeCells>
  <dataValidations count="1">
    <dataValidation allowBlank="true" errorStyle="stop" operator="between" showDropDown="false" showErrorMessage="false" showInputMessage="false" sqref="F5:I41" type="list">
      <formula1>"Correct,Fix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0"/>
  </cols>
  <sheetData>
    <row r="1" customFormat="false" ht="17.35" hidden="false" customHeight="false" outlineLevel="0" collapsed="false">
      <c r="A1" s="6" t="s">
        <v>3577</v>
      </c>
    </row>
    <row r="3" customFormat="false" ht="23.85" hidden="false" customHeight="false" outlineLevel="0" collapsed="false">
      <c r="A3" s="10" t="s">
        <v>3578</v>
      </c>
      <c r="B3" s="16" t="s">
        <v>3579</v>
      </c>
    </row>
    <row r="4" customFormat="false" ht="23.85" hidden="false" customHeight="false" outlineLevel="0" collapsed="false">
      <c r="A4" s="10" t="s">
        <v>3580</v>
      </c>
      <c r="B4" s="16" t="s">
        <v>3581</v>
      </c>
    </row>
    <row r="5" customFormat="false" ht="23.85" hidden="false" customHeight="false" outlineLevel="0" collapsed="false">
      <c r="A5" s="10" t="s">
        <v>3552</v>
      </c>
      <c r="B5" s="16" t="s">
        <v>3582</v>
      </c>
    </row>
    <row r="6" customFormat="false" ht="15" hidden="false" customHeight="false" outlineLevel="0" collapsed="false">
      <c r="A6" s="10" t="s">
        <v>18</v>
      </c>
      <c r="B6" s="16" t="s">
        <v>3583</v>
      </c>
    </row>
    <row r="7" customFormat="false" ht="15" hidden="false" customHeight="false" outlineLevel="0" collapsed="false">
      <c r="A7" s="10" t="s">
        <v>3584</v>
      </c>
      <c r="B7" s="16" t="s">
        <v>3585</v>
      </c>
    </row>
    <row r="8" customFormat="false" ht="35.05" hidden="false" customHeight="false" outlineLevel="0" collapsed="false">
      <c r="A8" s="10" t="s">
        <v>9</v>
      </c>
      <c r="B8" s="16" t="s">
        <v>3586</v>
      </c>
    </row>
    <row r="9" customFormat="false" ht="23.85" hidden="false" customHeight="false" outlineLevel="0" collapsed="false">
      <c r="A9" s="10" t="s">
        <v>3587</v>
      </c>
      <c r="B9" s="16" t="s">
        <v>3588</v>
      </c>
    </row>
    <row r="10" customFormat="false" ht="23.85" hidden="false" customHeight="false" outlineLevel="0" collapsed="false">
      <c r="A10" s="10" t="s">
        <v>3589</v>
      </c>
      <c r="B10" s="16" t="s">
        <v>3590</v>
      </c>
    </row>
    <row r="11" customFormat="false" ht="23.85" hidden="false" customHeight="false" outlineLevel="0" collapsed="false">
      <c r="A11" s="10" t="s">
        <v>26</v>
      </c>
      <c r="B11" s="16" t="s">
        <v>3591</v>
      </c>
    </row>
    <row r="12" customFormat="false" ht="23.85" hidden="false" customHeight="false" outlineLevel="0" collapsed="false">
      <c r="A12" s="10" t="s">
        <v>14</v>
      </c>
      <c r="B12" s="16" t="s">
        <v>3592</v>
      </c>
    </row>
    <row r="13" customFormat="false" ht="23.85" hidden="false" customHeight="false" outlineLevel="0" collapsed="false">
      <c r="A13" s="10" t="s">
        <v>22</v>
      </c>
      <c r="B13" s="16" t="s">
        <v>3593</v>
      </c>
    </row>
    <row r="14" customFormat="false" ht="15" hidden="false" customHeight="false" outlineLevel="0" collapsed="false">
      <c r="A14" s="10" t="s">
        <v>3594</v>
      </c>
      <c r="B14" s="16" t="s">
        <v>3595</v>
      </c>
    </row>
    <row r="15" customFormat="false" ht="15" hidden="false" customHeight="false" outlineLevel="0" collapsed="false">
      <c r="A15" s="10"/>
      <c r="B15" s="16"/>
    </row>
    <row r="16" customFormat="false" ht="15" hidden="false" customHeight="false" outlineLevel="0" collapsed="false">
      <c r="A16" s="10" t="s">
        <v>3596</v>
      </c>
      <c r="B16" s="16"/>
    </row>
    <row r="17" customFormat="false" ht="15" hidden="false" customHeight="false" outlineLevel="0" collapsed="false">
      <c r="A17" s="10" t="s">
        <v>3597</v>
      </c>
      <c r="B17" s="16" t="s">
        <v>3598</v>
      </c>
    </row>
    <row r="18" customFormat="false" ht="15" hidden="false" customHeight="false" outlineLevel="0" collapsed="false">
      <c r="A18" s="10" t="s">
        <v>3599</v>
      </c>
      <c r="B18" s="16" t="s">
        <v>3600</v>
      </c>
    </row>
    <row r="19" customFormat="false" ht="15" hidden="false" customHeight="false" outlineLevel="0" collapsed="false">
      <c r="A19" s="10" t="s">
        <v>3601</v>
      </c>
      <c r="B19" s="16" t="s">
        <v>3602</v>
      </c>
    </row>
    <row r="20" customFormat="false" ht="23.85" hidden="false" customHeight="false" outlineLevel="0" collapsed="false">
      <c r="A20" s="10" t="s">
        <v>3603</v>
      </c>
      <c r="B20" s="16" t="s">
        <v>3604</v>
      </c>
    </row>
    <row r="21" customFormat="false" ht="23.85" hidden="false" customHeight="false" outlineLevel="0" collapsed="false">
      <c r="A21" s="10" t="s">
        <v>3605</v>
      </c>
      <c r="B21" s="16" t="s">
        <v>3606</v>
      </c>
    </row>
    <row r="22" customFormat="false" ht="35.05" hidden="false" customHeight="false" outlineLevel="0" collapsed="false">
      <c r="A22" s="10" t="s">
        <v>3607</v>
      </c>
      <c r="B22" s="16" t="s">
        <v>3608</v>
      </c>
    </row>
    <row r="23" customFormat="false" ht="23.85" hidden="false" customHeight="false" outlineLevel="0" collapsed="false">
      <c r="A23" s="10" t="s">
        <v>3609</v>
      </c>
      <c r="B23" s="16" t="s">
        <v>3610</v>
      </c>
    </row>
    <row r="24" customFormat="false" ht="23.85" hidden="false" customHeight="false" outlineLevel="0" collapsed="false">
      <c r="A24" s="10" t="s">
        <v>3611</v>
      </c>
      <c r="B24" s="16" t="s">
        <v>3612</v>
      </c>
    </row>
    <row r="25" customFormat="false" ht="46.25" hidden="false" customHeight="false" outlineLevel="0" collapsed="false">
      <c r="A25" s="10" t="s">
        <v>3613</v>
      </c>
      <c r="B25" s="16" t="s">
        <v>3614</v>
      </c>
    </row>
    <row r="26" customFormat="false" ht="23.85" hidden="false" customHeight="false" outlineLevel="0" collapsed="false">
      <c r="A26" s="10" t="s">
        <v>3615</v>
      </c>
      <c r="B26" s="16" t="s">
        <v>3616</v>
      </c>
    </row>
    <row r="27" customFormat="false" ht="35.05" hidden="false" customHeight="false" outlineLevel="0" collapsed="false">
      <c r="A27" s="10" t="s">
        <v>3617</v>
      </c>
      <c r="B27" s="16" t="s">
        <v>3618</v>
      </c>
    </row>
    <row r="28" customFormat="false" ht="15" hidden="false" customHeight="false" outlineLevel="0" collapsed="false">
      <c r="A28" s="10"/>
      <c r="B28" s="16"/>
    </row>
    <row r="29" customFormat="false" ht="15" hidden="false" customHeight="false" outlineLevel="0" collapsed="false">
      <c r="A29" s="10" t="s">
        <v>3619</v>
      </c>
      <c r="B29" s="16"/>
    </row>
    <row r="30" customFormat="false" ht="23.85" hidden="false" customHeight="false" outlineLevel="0" collapsed="false">
      <c r="A30" s="10" t="s">
        <v>3620</v>
      </c>
      <c r="B30" s="16" t="s">
        <v>3621</v>
      </c>
    </row>
    <row r="31" customFormat="false" ht="15" hidden="false" customHeight="false" outlineLevel="0" collapsed="false">
      <c r="A31" s="10" t="s">
        <v>3622</v>
      </c>
      <c r="B31" s="16" t="s">
        <v>3623</v>
      </c>
    </row>
    <row r="32" customFormat="false" ht="15" hidden="false" customHeight="false" outlineLevel="0" collapsed="false">
      <c r="A32" s="10" t="s">
        <v>3624</v>
      </c>
      <c r="B32" s="16" t="s">
        <v>3625</v>
      </c>
    </row>
    <row r="33" customFormat="false" ht="23.85" hidden="false" customHeight="false" outlineLevel="0" collapsed="false">
      <c r="A33" s="10" t="s">
        <v>3626</v>
      </c>
      <c r="B33" s="16" t="s">
        <v>3627</v>
      </c>
    </row>
    <row r="34" customFormat="false" ht="23.85" hidden="false" customHeight="false" outlineLevel="0" collapsed="false">
      <c r="A34" s="10" t="s">
        <v>3628</v>
      </c>
      <c r="B34" s="16" t="s">
        <v>3629</v>
      </c>
    </row>
    <row r="35" customFormat="false" ht="46.25" hidden="false" customHeight="false" outlineLevel="0" collapsed="false">
      <c r="A35" s="10" t="s">
        <v>3630</v>
      </c>
      <c r="B35" s="16" t="s">
        <v>3631</v>
      </c>
    </row>
    <row r="36" customFormat="false" ht="23.85" hidden="false" customHeight="false" outlineLevel="0" collapsed="false">
      <c r="A36" s="10" t="s">
        <v>3632</v>
      </c>
      <c r="B36" s="16" t="s">
        <v>3633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6" t="s">
        <v>3634</v>
      </c>
    </row>
    <row r="3" customFormat="false" ht="15" hidden="false" customHeight="false" outlineLevel="0" collapsed="false">
      <c r="A3" s="17" t="s">
        <v>3635</v>
      </c>
    </row>
    <row r="4" customFormat="false" ht="23.85" hidden="false" customHeight="false" outlineLevel="0" collapsed="false">
      <c r="A4" s="17" t="s">
        <v>3636</v>
      </c>
    </row>
    <row r="5" customFormat="false" ht="15" hidden="false" customHeight="false" outlineLevel="0" collapsed="false">
      <c r="A5" s="17" t="s">
        <v>3637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2026-10-08T07:31:04Z</dcterms:created>
  <dc:creator>openpyxl</dc:creator>
  <dc:description/>
  <dc:language>en-US</dc:language>
  <cp:lastModifiedBy/>
  <dcterms:modified xsi:type="dcterms:W3CDTF">2026-10-08T07:31:05Z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